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3E003-G\Downloads\"/>
    </mc:Choice>
  </mc:AlternateContent>
  <xr:revisionPtr revIDLastSave="0" documentId="8_{D08D8130-7ACD-443A-9622-44E7B65BF32A}" xr6:coauthVersionLast="36" xr6:coauthVersionMax="36" xr10:uidLastSave="{00000000-0000-0000-0000-000000000000}"/>
  <bookViews>
    <workbookView xWindow="0" yWindow="0" windowWidth="28800" windowHeight="12105" firstSheet="3" activeTab="3" xr2:uid="{00000000-000D-0000-FFFF-FFFF00000000}"/>
  </bookViews>
  <sheets>
    <sheet name="VentasDesnormalizada" sheetId="1" r:id="rId1"/>
    <sheet name="Respuestas 1_Negocio" sheetId="6" r:id="rId2"/>
    <sheet name="Respuestas 2_Negocio" sheetId="7" r:id="rId3"/>
    <sheet name="Respuestas 3_Negocio" sheetId="8" r:id="rId4"/>
    <sheet name="Respuestas 4_Negocio" sheetId="9" r:id="rId5"/>
    <sheet name="Respuestas 5_Negocio" sheetId="10" r:id="rId6"/>
    <sheet name="fact_sales" sheetId="2" r:id="rId7"/>
    <sheet name="dim_product" sheetId="3" r:id="rId8"/>
    <sheet name="dim_customer" sheetId="4" r:id="rId9"/>
    <sheet name="dim_date" sheetId="5" r:id="rId10"/>
  </sheets>
  <definedNames>
    <definedName name="_xlcn.WorksheetConnection_Tabla_Desnormalizada_Ventas.xlsxdim_customer1" hidden="1">dim_customer[]</definedName>
    <definedName name="_xlcn.WorksheetConnection_Tabla_Desnormalizada_Ventas.xlsxdim_date1" hidden="1">dim_date[]</definedName>
    <definedName name="_xlcn.WorksheetConnection_Tabla_Desnormalizada_Ventas.xlsxdim_product1" hidden="1">dim_product[]</definedName>
    <definedName name="_xlcn.WorksheetConnection_Tabla_Desnormalizada_Ventas.xlsxfact_sales1" hidden="1">fact_sales[]</definedName>
  </definedNames>
  <calcPr calcId="191029"/>
  <pivotCaches>
    <pivotCache cacheId="10" r:id="rId11"/>
    <pivotCache cacheId="21" r:id="rId12"/>
    <pivotCache cacheId="29" r:id="rId13"/>
    <pivotCache cacheId="37" r:id="rId14"/>
    <pivotCache cacheId="48" r:id="rId15"/>
  </pivotCaches>
  <extLst>
    <ext xmlns:x15="http://schemas.microsoft.com/office/spreadsheetml/2010/11/main" uri="{FCE2AD5D-F65C-4FA6-A056-5C36A1767C68}">
      <x15:dataModel>
        <x15:modelTables>
          <x15:modelTable id="dim_product" name="dim_product" connection="WorksheetConnection_Tabla_Desnormalizada_Ventas.xlsx!dim_product"/>
          <x15:modelTable id="dim_customer" name="dim_customer" connection="WorksheetConnection_Tabla_Desnormalizada_Ventas.xlsx!dim_customer"/>
          <x15:modelTable id="dim_date" name="dim_date" connection="WorksheetConnection_Tabla_Desnormalizada_Ventas.xlsx!dim_date"/>
          <x15:modelTable id="fact_sales" name="fact_sales" connection="WorksheetConnection_Tabla_Desnormalizada_Ventas.xlsx!fact_sales"/>
        </x15:modelTables>
        <x15:modelRelationships>
          <x15:modelRelationship fromTable="fact_sales" fromColumn="ProductKey" toTable="dim_product" toColumn="ProductKey"/>
          <x15:modelRelationship fromTable="fact_sales" fromColumn="CustomerKey" toTable="dim_customer" toColumn="CustomerKey"/>
          <x15:modelRelationship fromTable="fact_sales" fromColumn="OrderDateKey" toTable="dim_date" toColumn="DateKey"/>
        </x15:modelRelationships>
      </x15:dataModel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D4" i="5"/>
  <c r="D2" i="5"/>
  <c r="D3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0C4EA1-7F3D-4B12-B7F7-DACB630D0794}" keepAlive="1" name="ThisWorkbookDataModel" description="Modelo de dat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7615DD1-5480-440C-947D-9A951B8078FB}" name="WorksheetConnection_Tabla_Desnormalizada_Ventas.xlsx!dim_customer" type="102" refreshedVersion="6" minRefreshableVersion="5">
    <extLst>
      <ext xmlns:x15="http://schemas.microsoft.com/office/spreadsheetml/2010/11/main" uri="{DE250136-89BD-433C-8126-D09CA5730AF9}">
        <x15:connection id="dim_customer">
          <x15:rangePr sourceName="_xlcn.WorksheetConnection_Tabla_Desnormalizada_Ventas.xlsxdim_customer1"/>
        </x15:connection>
      </ext>
    </extLst>
  </connection>
  <connection id="3" xr16:uid="{339E4CEA-2603-4196-9A9C-A868A243FED3}" name="WorksheetConnection_Tabla_Desnormalizada_Ventas.xlsx!dim_date" type="102" refreshedVersion="6" minRefreshableVersion="5">
    <extLst>
      <ext xmlns:x15="http://schemas.microsoft.com/office/spreadsheetml/2010/11/main" uri="{DE250136-89BD-433C-8126-D09CA5730AF9}">
        <x15:connection id="dim_date">
          <x15:rangePr sourceName="_xlcn.WorksheetConnection_Tabla_Desnormalizada_Ventas.xlsxdim_date1"/>
        </x15:connection>
      </ext>
    </extLst>
  </connection>
  <connection id="4" xr16:uid="{A340CC1B-BDCF-4A0F-BB05-0543E0B3928C}" name="WorksheetConnection_Tabla_Desnormalizada_Ventas.xlsx!dim_product" type="102" refreshedVersion="6" minRefreshableVersion="5">
    <extLst>
      <ext xmlns:x15="http://schemas.microsoft.com/office/spreadsheetml/2010/11/main" uri="{DE250136-89BD-433C-8126-D09CA5730AF9}">
        <x15:connection id="dim_product">
          <x15:rangePr sourceName="_xlcn.WorksheetConnection_Tabla_Desnormalizada_Ventas.xlsxdim_product1"/>
        </x15:connection>
      </ext>
    </extLst>
  </connection>
  <connection id="5" xr16:uid="{9848FBB0-524E-4BE9-BC4E-B796EB983980}" name="WorksheetConnection_Tabla_Desnormalizada_Ventas.xlsx!fact_sales" type="102" refreshedVersion="6" minRefreshableVersion="5">
    <extLst>
      <ext xmlns:x15="http://schemas.microsoft.com/office/spreadsheetml/2010/11/main" uri="{DE250136-89BD-433C-8126-D09CA5730AF9}">
        <x15:connection id="fact_sales">
          <x15:rangePr sourceName="_xlcn.WorksheetConnection_Tabla_Desnormalizada_Ventas.xlsxfact_sales1"/>
        </x15:connection>
      </ext>
    </extLst>
  </connection>
</connections>
</file>

<file path=xl/sharedStrings.xml><?xml version="1.0" encoding="utf-8"?>
<sst xmlns="http://schemas.openxmlformats.org/spreadsheetml/2006/main" count="1761" uniqueCount="345">
  <si>
    <t>ProductKey</t>
  </si>
  <si>
    <t>Product Code</t>
  </si>
  <si>
    <t>Product Name</t>
  </si>
  <si>
    <t>List Price</t>
  </si>
  <si>
    <t>Color</t>
  </si>
  <si>
    <t>Size</t>
  </si>
  <si>
    <t>Category</t>
  </si>
  <si>
    <t>Subcategory</t>
  </si>
  <si>
    <t>CustomerKey</t>
  </si>
  <si>
    <t>Birth Date</t>
  </si>
  <si>
    <t>Marital Status</t>
  </si>
  <si>
    <t>Gender</t>
  </si>
  <si>
    <t>Income</t>
  </si>
  <si>
    <t>Children</t>
  </si>
  <si>
    <t>Home Owner</t>
  </si>
  <si>
    <t>Cars</t>
  </si>
  <si>
    <t>OrderDateKey</t>
  </si>
  <si>
    <t>Order Date</t>
  </si>
  <si>
    <t>ShipDateKey</t>
  </si>
  <si>
    <t>Ship Date</t>
  </si>
  <si>
    <t>OrderNumber</t>
  </si>
  <si>
    <t>OrderLineNumber</t>
  </si>
  <si>
    <t>Quantity</t>
  </si>
  <si>
    <t>UnitPrice</t>
  </si>
  <si>
    <t>ProductCost</t>
  </si>
  <si>
    <t>SalesAmount</t>
  </si>
  <si>
    <t>P104</t>
  </si>
  <si>
    <t>P143</t>
  </si>
  <si>
    <t>P111</t>
  </si>
  <si>
    <t>P118</t>
  </si>
  <si>
    <t>P120</t>
  </si>
  <si>
    <t>P113</t>
  </si>
  <si>
    <t>P140</t>
  </si>
  <si>
    <t>P127</t>
  </si>
  <si>
    <t>P117</t>
  </si>
  <si>
    <t>Product 5</t>
  </si>
  <si>
    <t>Product 44</t>
  </si>
  <si>
    <t>Product 12</t>
  </si>
  <si>
    <t>Product 19</t>
  </si>
  <si>
    <t>Product 21</t>
  </si>
  <si>
    <t>Product 14</t>
  </si>
  <si>
    <t>Product 41</t>
  </si>
  <si>
    <t>Product 28</t>
  </si>
  <si>
    <t>Product 18</t>
  </si>
  <si>
    <t>Red</t>
  </si>
  <si>
    <t>Black</t>
  </si>
  <si>
    <t>White</t>
  </si>
  <si>
    <t>Gray</t>
  </si>
  <si>
    <t>Small</t>
  </si>
  <si>
    <t>Large</t>
  </si>
  <si>
    <t>Medium</t>
  </si>
  <si>
    <t>Accessories</t>
  </si>
  <si>
    <t>Electronics</t>
  </si>
  <si>
    <t>Mice</t>
  </si>
  <si>
    <t>Cameras</t>
  </si>
  <si>
    <t>Monitors</t>
  </si>
  <si>
    <t>Tablets</t>
  </si>
  <si>
    <t>Keyboards</t>
  </si>
  <si>
    <t>Computers</t>
  </si>
  <si>
    <t>1971-01-04</t>
  </si>
  <si>
    <t>1974-08-25</t>
  </si>
  <si>
    <t>1989-06-16</t>
  </si>
  <si>
    <t>1981-01-02</t>
  </si>
  <si>
    <t>1980-11-06</t>
  </si>
  <si>
    <t>1970-09-23</t>
  </si>
  <si>
    <t>1972-01-05</t>
  </si>
  <si>
    <t>1982-09-07</t>
  </si>
  <si>
    <t>1986-02-04</t>
  </si>
  <si>
    <t>1992-09-16</t>
  </si>
  <si>
    <t>Single</t>
  </si>
  <si>
    <t>Married</t>
  </si>
  <si>
    <t>M</t>
  </si>
  <si>
    <t>F</t>
  </si>
  <si>
    <t>No</t>
  </si>
  <si>
    <t>Yes</t>
  </si>
  <si>
    <t>2022-01-31</t>
  </si>
  <si>
    <t>2022-09-28</t>
  </si>
  <si>
    <t>2025-10-27</t>
  </si>
  <si>
    <t>2023-12-07</t>
  </si>
  <si>
    <t>2022-04-16</t>
  </si>
  <si>
    <t>2024-04-20</t>
  </si>
  <si>
    <t>2022-05-01</t>
  </si>
  <si>
    <t>2024-06-19</t>
  </si>
  <si>
    <t>2022-03-17</t>
  </si>
  <si>
    <t>2023-06-10</t>
  </si>
  <si>
    <t>2023-09-08</t>
  </si>
  <si>
    <t>2024-04-05</t>
  </si>
  <si>
    <t>2025-04-30</t>
  </si>
  <si>
    <t>2024-06-04</t>
  </si>
  <si>
    <t>2024-11-16</t>
  </si>
  <si>
    <t>2024-03-06</t>
  </si>
  <si>
    <t>2024-05-05</t>
  </si>
  <si>
    <t>2025-12-11</t>
  </si>
  <si>
    <t>2022-06-15</t>
  </si>
  <si>
    <t>2022-05-16</t>
  </si>
  <si>
    <t>2022-10-13</t>
  </si>
  <si>
    <t>2022-01-01</t>
  </si>
  <si>
    <t>2022-09-13</t>
  </si>
  <si>
    <t>2023-03-27</t>
  </si>
  <si>
    <t>2022-06-30</t>
  </si>
  <si>
    <t>2025-12-26</t>
  </si>
  <si>
    <t>2025-06-14</t>
  </si>
  <si>
    <t>2024-01-06</t>
  </si>
  <si>
    <t>2023-05-26</t>
  </si>
  <si>
    <t>2022-05-31</t>
  </si>
  <si>
    <t>2022-02-15</t>
  </si>
  <si>
    <t>2024-02-20</t>
  </si>
  <si>
    <t>2024-10-17</t>
  </si>
  <si>
    <t>2025-03-01</t>
  </si>
  <si>
    <t>2022-03-02</t>
  </si>
  <si>
    <t>2024-09-02</t>
  </si>
  <si>
    <t>2022-12-27</t>
  </si>
  <si>
    <t>2025-09-12</t>
  </si>
  <si>
    <t>2022-07-30</t>
  </si>
  <si>
    <t>2022-04-01</t>
  </si>
  <si>
    <t>2022-08-29</t>
  </si>
  <si>
    <t>2025-03-16</t>
  </si>
  <si>
    <t>2022-12-12</t>
  </si>
  <si>
    <t>2024-11-01</t>
  </si>
  <si>
    <t>2025-06-29</t>
  </si>
  <si>
    <t>2024-12-31</t>
  </si>
  <si>
    <t>2025-01-30</t>
  </si>
  <si>
    <t>2023-02-10</t>
  </si>
  <si>
    <t>2023-06-25</t>
  </si>
  <si>
    <t>2025-03-31</t>
  </si>
  <si>
    <t>2024-07-04</t>
  </si>
  <si>
    <t>2025-05-30</t>
  </si>
  <si>
    <t>2024-01-21</t>
  </si>
  <si>
    <t>2023-02-25</t>
  </si>
  <si>
    <t>2024-02-05</t>
  </si>
  <si>
    <t>2023-07-10</t>
  </si>
  <si>
    <t>2022-07-15</t>
  </si>
  <si>
    <t>2023-04-11</t>
  </si>
  <si>
    <t>2025-04-15</t>
  </si>
  <si>
    <t>2024-12-01</t>
  </si>
  <si>
    <t>2024-08-03</t>
  </si>
  <si>
    <t>2022-02-03</t>
  </si>
  <si>
    <t>2022-10-01</t>
  </si>
  <si>
    <t>2025-10-30</t>
  </si>
  <si>
    <t>2023-12-10</t>
  </si>
  <si>
    <t>2022-04-18</t>
  </si>
  <si>
    <t>2024-04-23</t>
  </si>
  <si>
    <t>2022-05-04</t>
  </si>
  <si>
    <t>2024-06-21</t>
  </si>
  <si>
    <t>2022-03-20</t>
  </si>
  <si>
    <t>2023-06-13</t>
  </si>
  <si>
    <t>2023-09-09</t>
  </si>
  <si>
    <t>2024-04-06</t>
  </si>
  <si>
    <t>2025-05-02</t>
  </si>
  <si>
    <t>2025-05-03</t>
  </si>
  <si>
    <t>2024-06-06</t>
  </si>
  <si>
    <t>2024-11-19</t>
  </si>
  <si>
    <t>2024-03-07</t>
  </si>
  <si>
    <t>2024-05-07</t>
  </si>
  <si>
    <t>2025-12-13</t>
  </si>
  <si>
    <t>2022-06-16</t>
  </si>
  <si>
    <t>2022-05-18</t>
  </si>
  <si>
    <t>2022-10-14</t>
  </si>
  <si>
    <t>2022-01-02</t>
  </si>
  <si>
    <t>2022-06-18</t>
  </si>
  <si>
    <t>2024-03-08</t>
  </si>
  <si>
    <t>2022-09-16</t>
  </si>
  <si>
    <t>2023-03-28</t>
  </si>
  <si>
    <t>2022-07-03</t>
  </si>
  <si>
    <t>2025-12-28</t>
  </si>
  <si>
    <t>2025-06-16</t>
  </si>
  <si>
    <t>2024-01-07</t>
  </si>
  <si>
    <t>2023-05-27</t>
  </si>
  <si>
    <t>2022-06-03</t>
  </si>
  <si>
    <t>2022-02-18</t>
  </si>
  <si>
    <t>2024-02-21</t>
  </si>
  <si>
    <t>2024-10-19</t>
  </si>
  <si>
    <t>2023-05-29</t>
  </si>
  <si>
    <t>2025-03-02</t>
  </si>
  <si>
    <t>2022-03-04</t>
  </si>
  <si>
    <t>2022-09-15</t>
  </si>
  <si>
    <t>2024-10-18</t>
  </si>
  <si>
    <t>2024-09-05</t>
  </si>
  <si>
    <t>2022-12-28</t>
  </si>
  <si>
    <t>2022-12-29</t>
  </si>
  <si>
    <t>2025-09-15</t>
  </si>
  <si>
    <t>2022-07-31</t>
  </si>
  <si>
    <t>2022-04-04</t>
  </si>
  <si>
    <t>2022-08-31</t>
  </si>
  <si>
    <t>2025-03-17</t>
  </si>
  <si>
    <t>2022-12-14</t>
  </si>
  <si>
    <t>2024-06-05</t>
  </si>
  <si>
    <t>2025-03-04</t>
  </si>
  <si>
    <t>2024-11-04</t>
  </si>
  <si>
    <t>2025-06-30</t>
  </si>
  <si>
    <t>2022-07-02</t>
  </si>
  <si>
    <t>2025-01-03</t>
  </si>
  <si>
    <t>2025-01-31</t>
  </si>
  <si>
    <t>2022-07-01</t>
  </si>
  <si>
    <t>2022-08-01</t>
  </si>
  <si>
    <t>2023-02-13</t>
  </si>
  <si>
    <t>2023-06-27</t>
  </si>
  <si>
    <t>2025-07-01</t>
  </si>
  <si>
    <t>2025-04-03</t>
  </si>
  <si>
    <t>2024-07-07</t>
  </si>
  <si>
    <t>2024-04-08</t>
  </si>
  <si>
    <t>2025-06-02</t>
  </si>
  <si>
    <t>2024-09-03</t>
  </si>
  <si>
    <t>2024-01-23</t>
  </si>
  <si>
    <t>2023-02-28</t>
  </si>
  <si>
    <t>2024-02-08</t>
  </si>
  <si>
    <t>2025-02-02</t>
  </si>
  <si>
    <t>2025-06-15</t>
  </si>
  <si>
    <t>2022-03-03</t>
  </si>
  <si>
    <t>2023-07-12</t>
  </si>
  <si>
    <t>2022-06-17</t>
  </si>
  <si>
    <t>2024-01-22</t>
  </si>
  <si>
    <t>2022-05-03</t>
  </si>
  <si>
    <t>2022-07-17</t>
  </si>
  <si>
    <t>2023-04-13</t>
  </si>
  <si>
    <t>2025-04-18</t>
  </si>
  <si>
    <t>2024-12-02</t>
  </si>
  <si>
    <t>2025-04-02</t>
  </si>
  <si>
    <t>2022-12-15</t>
  </si>
  <si>
    <t>2022-04-17</t>
  </si>
  <si>
    <t>2022-02-17</t>
  </si>
  <si>
    <t>2024-08-05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</si>
  <si>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</si>
  <si>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</si>
  <si>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</si>
  <si>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</si>
  <si>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</si>
  <si>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</si>
  <si>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</si>
  <si>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</si>
  <si>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</si>
  <si>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</si>
  <si>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</si>
  <si>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</si>
  <si>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</si>
  <si>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</si>
  <si>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</si>
  <si>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</si>
  <si>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</si>
  <si>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</si>
  <si>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</si>
  <si>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</si>
  <si>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</si>
  <si>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</si>
  <si>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</si>
  <si>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</si>
  <si>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</si>
  <si>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</si>
  <si>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</si>
  <si>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</si>
  <si>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</si>
  <si>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</si>
  <si>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</si>
  <si>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</si>
  <si>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</si>
  <si>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</si>
  <si>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</si>
  <si>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</si>
  <si>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</si>
  <si>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</si>
  <si>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</si>
  <si>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</si>
  <si>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</si>
  <si>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</si>
  <si>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</si>
  <si>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</si>
  <si>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</si>
  <si>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</si>
  <si>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</si>
  <si>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</si>
  <si>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</si>
  <si>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</si>
  <si>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</si>
  <si>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</si>
  <si>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</si>
  <si>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</si>
  <si>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</si>
  <si>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</si>
  <si>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</si>
  <si>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</si>
  <si>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</si>
  <si>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</si>
  <si>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</si>
  <si>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</si>
  <si>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</si>
  <si>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</si>
  <si>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</si>
  <si>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</si>
  <si>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</si>
  <si>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</si>
  <si>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</si>
  <si>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</si>
  <si>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</si>
  <si>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</si>
  <si>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</si>
  <si>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</si>
  <si>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</si>
  <si>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</si>
  <si>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</si>
  <si>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</si>
  <si>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</si>
  <si>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</si>
  <si>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</si>
  <si>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</si>
  <si>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</si>
  <si>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</si>
  <si>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</si>
  <si>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</si>
  <si>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</si>
  <si>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</si>
  <si>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</si>
  <si>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</si>
  <si>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</si>
  <si>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</si>
  <si>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</si>
  <si>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</si>
  <si>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</si>
  <si>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</si>
  <si>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</si>
  <si>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</si>
  <si>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</si>
  <si>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</si>
  <si>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DateKey</t>
  </si>
  <si>
    <t>Date</t>
  </si>
  <si>
    <t>Month No</t>
  </si>
  <si>
    <t>Month</t>
  </si>
  <si>
    <t>Quarter</t>
  </si>
  <si>
    <t>Etiquetas de fila</t>
  </si>
  <si>
    <t>Total general</t>
  </si>
  <si>
    <t>Etiquetas de columna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</si>
  <si>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</si>
  <si>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</si>
  <si>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</si>
  <si>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</si>
  <si>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</si>
  <si>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</si>
  <si>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</si>
  <si>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</si>
  <si>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</si>
  <si>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</si>
  <si>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</si>
  <si>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</si>
  <si>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Sales</t>
  </si>
  <si>
    <t>Total Quantity Sold</t>
  </si>
  <si>
    <t>Total Quantity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</si>
</sst>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3" borderId="2" xfId="0" applyFont="1" applyFill="1" applyBorder="1"/>
    <xf numFmtId="0" fontId="0" fillId="3" borderId="3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3" borderId="6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14" fontId="0" fillId="3" borderId="3" xfId="0" applyNumberFormat="1" applyFont="1" applyFill="1" applyBorder="1"/>
    <xf numFmtId="14" fontId="0" fillId="4" borderId="3" xfId="0" applyNumberFormat="1" applyFont="1" applyFill="1" applyBorder="1"/>
    <xf numFmtId="14" fontId="0" fillId="4" borderId="5" xfId="0" applyNumberFormat="1" applyFont="1" applyFill="1" applyBorder="1"/>
    <xf numFmtId="14" fontId="2" fillId="2" borderId="1" xfId="0" applyNumberFormat="1" applyFont="1" applyFill="1" applyBorder="1" applyAlignment="1">
      <alignment horizontal="center" vertical="top"/>
    </xf>
    <xf numFmtId="0" fontId="0" fillId="0" borderId="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3E003-G" refreshedDate="46315.324840393521" createdVersion="5" refreshedVersion="6" minRefreshableVersion="3" recordCount="0" supportSubquery="1" supportAdvancedDrill="1" xr:uid="{2E3901DD-DEDD-4207-B2CF-B3107118EA33}">
  <cacheSource type="external" connectionId="1"/>
  <cacheFields count="3">
    <cacheField name="[dim_product].[Category].[Category]" caption="Category" numFmtId="0" hierarchy="19" level="1">
      <sharedItems count="2">
        <s v="Accessories"/>
        <s v="Electronics"/>
      </sharedItems>
    </cacheField>
    <cacheField name="[dim_date].[Month].[Month]" caption="Month" numFmtId="0" hierarchy="11" level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[Measures].[Total Sales]" caption="Total Sales" numFmtId="0" hierarchy="31" level="32767"/>
  </cacheFields>
  <cacheHierarchies count="39"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13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Key]" caption="DateKey" attribute="1" defaultMemberUniqueName="[dim_date].[DateKey].[All]" allUniqueName="[dim_date].[DateKey].[All]" dimensionUniqueName="[dim_date]" displayFolder="" count="0" memberValueDatatype="20" unbalanced="0"/>
    <cacheHierarchy uniqueName="[dim_date].[Date]" caption="Date" attribute="1" defaultMemberUniqueName="[dim_date].[Date].[All]" allUniqueName="[dim_date].[Date].[All]" dimensionUniqueName="[dim_date]" displayFolder="" count="0" memberValueDatatype="130" unbalanced="0"/>
    <cacheHierarchy uniqueName="[dim_date].[Month No]" caption="Month No" attribute="1" defaultMemberUniqueName="[dim_date].[Month No].[All]" allUniqueName="[dim_date].[Month No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2" memberValueDatatype="130" unbalanced="0">
      <fieldsUsage count="2">
        <fieldUsage x="-1"/>
        <fieldUsage x="1"/>
      </fieldsUsage>
    </cacheHierarchy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Measures].[Total Sales]" caption="Total Sales" measure="1" displayFolder="" measureGroup="fact_sales" count="0" oneField="1">
      <fieldsUsage count="1">
        <fieldUsage x="2"/>
      </fieldsUsage>
    </cacheHierarchy>
    <cacheHierarchy uniqueName="[Measures].[Total Quantity Sold]" caption="Total Quantity Sold" measure="1" displayFolder="" measureGroup="fact_sales" count="0"/>
    <cacheHierarchy uniqueName="[Measures].[Total Quantity Shipped]" caption="Total Quantity Shipped" measure="1" displayFolder="" measureGroup="fact_sales" count="0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XL_Count fact_sales]" caption="__XL_Count fact_sales" measure="1" displayFolder="" measureGroup="fact_sales" count="0" hidden="1"/>
    <cacheHierarchy uniqueName="[Measures].[__No hay medidas definidas]" caption="__No hay medidas definidas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3E003-G" refreshedDate="46315.326100810184" createdVersion="5" refreshedVersion="6" minRefreshableVersion="3" recordCount="0" supportSubquery="1" supportAdvancedDrill="1" xr:uid="{E8AA6CD1-33D2-4FD4-93F7-1C4A83D38026}">
  <cacheSource type="external" connectionId="1"/>
  <cacheFields count="3">
    <cacheField name="[dim_customer].[CustomerKey].[CustomerKey]" caption="CustomerKey" numFmtId="0" level="1">
      <sharedItems containsSemiMixedTypes="0" containsString="0" containsNumber="1" containsInteger="1" minValue="1002" maxValue="1049" count="10">
        <n v="1002"/>
        <n v="1007"/>
        <n v="1010"/>
        <n v="1014"/>
        <n v="1016"/>
        <n v="1018"/>
        <n v="1022"/>
        <n v="1030"/>
        <n v="1043"/>
        <n v="1049"/>
      </sharedItems>
      <extLst>
        <ext xmlns:x15="http://schemas.microsoft.com/office/spreadsheetml/2010/11/main" uri="{4F2E5C28-24EA-4eb8-9CBF-B6C8F9C3D259}">
          <x15:cachedUniqueNames>
            <x15:cachedUniqueName index="0" name="[dim_customer].[CustomerKey].&amp;[1002]"/>
            <x15:cachedUniqueName index="1" name="[dim_customer].[CustomerKey].&amp;[1007]"/>
            <x15:cachedUniqueName index="2" name="[dim_customer].[CustomerKey].&amp;[1010]"/>
            <x15:cachedUniqueName index="3" name="[dim_customer].[CustomerKey].&amp;[1014]"/>
            <x15:cachedUniqueName index="4" name="[dim_customer].[CustomerKey].&amp;[1016]"/>
            <x15:cachedUniqueName index="5" name="[dim_customer].[CustomerKey].&amp;[1018]"/>
            <x15:cachedUniqueName index="6" name="[dim_customer].[CustomerKey].&amp;[1022]"/>
            <x15:cachedUniqueName index="7" name="[dim_customer].[CustomerKey].&amp;[1030]"/>
            <x15:cachedUniqueName index="8" name="[dim_customer].[CustomerKey].&amp;[1043]"/>
            <x15:cachedUniqueName index="9" name="[dim_customer].[CustomerKey].&amp;[1049]"/>
          </x15:cachedUniqueNames>
        </ext>
      </extLst>
    </cacheField>
    <cacheField name="[dim_customer].[Gender].[Gender]" caption="Gender" numFmtId="0" hierarchy="3" level="1">
      <sharedItems count="2">
        <s v="F"/>
        <s v="M"/>
      </sharedItems>
    </cacheField>
    <cacheField name="[Measures].[Total Sales]" caption="Total Sales" numFmtId="0" hierarchy="31" level="32767"/>
  </cacheFields>
  <cacheHierarchies count="39">
    <cacheHierarchy uniqueName="[dim_customer].[CustomerKey]" caption="CustomerKey" attribute="1" defaultMemberUniqueName="[dim_customer].[CustomerKey].[All]" allUniqueName="[dim_customer].[CustomerKey].[All]" dimensionUniqueName="[dim_customer]" displayFolder="" count="2" memberValueDatatype="20" unbalanced="0">
      <fieldsUsage count="2">
        <fieldUsage x="-1"/>
        <fieldUsage x="0"/>
      </fieldsUsage>
    </cacheHierarchy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13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Key]" caption="DateKey" attribute="1" defaultMemberUniqueName="[dim_date].[DateKey].[All]" allUniqueName="[dim_date].[DateKey].[All]" dimensionUniqueName="[dim_date]" displayFolder="" count="0" memberValueDatatype="20" unbalanced="0"/>
    <cacheHierarchy uniqueName="[dim_date].[Date]" caption="Date" attribute="1" defaultMemberUniqueName="[dim_date].[Date].[All]" allUniqueName="[dim_date].[Date].[All]" dimensionUniqueName="[dim_date]" displayFolder="" count="0" memberValueDatatype="130" unbalanced="0"/>
    <cacheHierarchy uniqueName="[dim_date].[Month No]" caption="Month No" attribute="1" defaultMemberUniqueName="[dim_date].[Month No].[All]" allUniqueName="[dim_date].[Month No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Measures].[Total Sales]" caption="Total Sales" measure="1" displayFolder="" measureGroup="fact_sales" count="0" oneField="1">
      <fieldsUsage count="1">
        <fieldUsage x="2"/>
      </fieldsUsage>
    </cacheHierarchy>
    <cacheHierarchy uniqueName="[Measures].[Total Quantity Sold]" caption="Total Quantity Sold" measure="1" displayFolder="" measureGroup="fact_sales" count="0"/>
    <cacheHierarchy uniqueName="[Measures].[Total Quantity Shipped]" caption="Total Quantity Shipped" measure="1" displayFolder="" measureGroup="fact_sales" count="0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XL_Count fact_sales]" caption="__XL_Count fact_sales" measure="1" displayFolder="" measureGroup="fact_sales" count="0" hidden="1"/>
    <cacheHierarchy uniqueName="[Measures].[__No hay medidas definidas]" caption="__No hay medidas definidas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3E003-G" refreshedDate="46315.327137268519" createdVersion="5" refreshedVersion="6" minRefreshableVersion="3" recordCount="0" supportSubquery="1" supportAdvancedDrill="1" xr:uid="{E04074FB-9597-4174-A3C4-5D79470BC081}">
  <cacheSource type="external" connectionId="1"/>
  <cacheFields count="2">
    <cacheField name="[dim_product].[Product Name].[Product Name]" caption="Product Name" numFmtId="0" hierarchy="15" level="1">
      <sharedItems count="9">
        <s v="Product 12"/>
        <s v="Product 14"/>
        <s v="Product 18"/>
        <s v="Product 19"/>
        <s v="Product 21"/>
        <s v="Product 28"/>
        <s v="Product 41"/>
        <s v="Product 44"/>
        <s v="Product 5"/>
      </sharedItems>
    </cacheField>
    <cacheField name="[Measures].[Total Quantity Sold]" caption="Total Quantity Sold" numFmtId="0" hierarchy="32" level="32767"/>
  </cacheFields>
  <cacheHierarchies count="39"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13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Key]" caption="DateKey" attribute="1" defaultMemberUniqueName="[dim_date].[DateKey].[All]" allUniqueName="[dim_date].[DateKey].[All]" dimensionUniqueName="[dim_date]" displayFolder="" count="0" memberValueDatatype="20" unbalanced="0"/>
    <cacheHierarchy uniqueName="[dim_date].[Date]" caption="Date" attribute="1" defaultMemberUniqueName="[dim_date].[Date].[All]" allUniqueName="[dim_date].[Date].[All]" dimensionUniqueName="[dim_date]" displayFolder="" count="0" memberValueDatatype="130" unbalanced="0"/>
    <cacheHierarchy uniqueName="[dim_date].[Month No]" caption="Month No" attribute="1" defaultMemberUniqueName="[dim_date].[Month No].[All]" allUniqueName="[dim_date].[Month No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Measures].[Total Sales]" caption="Total Sales" measure="1" displayFolder="" measureGroup="fact_sales" count="0"/>
    <cacheHierarchy uniqueName="[Measures].[Total Quantity Sold]" caption="Total Quantity Sold" measure="1" displayFolder="" measureGroup="fact_sales" count="0" oneField="1">
      <fieldsUsage count="1">
        <fieldUsage x="1"/>
      </fieldsUsage>
    </cacheHierarchy>
    <cacheHierarchy uniqueName="[Measures].[Total Quantity Shipped]" caption="Total Quantity Shipped" measure="1" displayFolder="" measureGroup="fact_sales" count="0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XL_Count fact_sales]" caption="__XL_Count fact_sales" measure="1" displayFolder="" measureGroup="fact_sales" count="0" hidden="1"/>
    <cacheHierarchy uniqueName="[Measures].[__No hay medidas definidas]" caption="__No hay medidas definidas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3E003-G" refreshedDate="46315.327751620367" createdVersion="5" refreshedVersion="6" minRefreshableVersion="3" recordCount="0" supportSubquery="1" supportAdvancedDrill="1" xr:uid="{4D5A1286-4BB2-464E-8766-3D195F429D3A}">
  <cacheSource type="external" connectionId="1"/>
  <cacheFields count="2">
    <cacheField name="[dim_date].[Month].[Month]" caption="Month" numFmtId="0" hierarchy="11" level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[Measures].[Total Quantity Shipped]" caption="Total Quantity Shipped" numFmtId="0" hierarchy="33" level="32767"/>
  </cacheFields>
  <cacheHierarchies count="39"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13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Key]" caption="DateKey" attribute="1" defaultMemberUniqueName="[dim_date].[DateKey].[All]" allUniqueName="[dim_date].[DateKey].[All]" dimensionUniqueName="[dim_date]" displayFolder="" count="0" memberValueDatatype="20" unbalanced="0"/>
    <cacheHierarchy uniqueName="[dim_date].[Date]" caption="Date" attribute="1" defaultMemberUniqueName="[dim_date].[Date].[All]" allUniqueName="[dim_date].[Date].[All]" dimensionUniqueName="[dim_date]" displayFolder="" count="0" memberValueDatatype="130" unbalanced="0"/>
    <cacheHierarchy uniqueName="[dim_date].[Month No]" caption="Month No" attribute="1" defaultMemberUniqueName="[dim_date].[Month No].[All]" allUniqueName="[dim_date].[Month No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Measures].[Total Sales]" caption="Total Sales" measure="1" displayFolder="" measureGroup="fact_sales" count="0"/>
    <cacheHierarchy uniqueName="[Measures].[Total Quantity Sold]" caption="Total Quantity Sold" measure="1" displayFolder="" measureGroup="fact_sales" count="0"/>
    <cacheHierarchy uniqueName="[Measures].[Total Quantity Shipped]" caption="Total Quantity Shipped" measure="1" displayFolder="" measureGroup="fact_sales" count="0" oneField="1">
      <fieldsUsage count="1">
        <fieldUsage x="1"/>
      </fieldsUsage>
    </cacheHierarchy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XL_Count fact_sales]" caption="__XL_Count fact_sales" measure="1" displayFolder="" measureGroup="fact_sales" count="0" hidden="1"/>
    <cacheHierarchy uniqueName="[Measures].[__No hay medidas definidas]" caption="__No hay medidas definidas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3E003-G" refreshedDate="46315.328350462965" createdVersion="5" refreshedVersion="6" minRefreshableVersion="3" recordCount="0" supportSubquery="1" supportAdvancedDrill="1" xr:uid="{43D2F0DF-42FF-451B-8B48-721CD7C39F77}">
  <cacheSource type="external" connectionId="1"/>
  <cacheFields count="3">
    <cacheField name="[dim_product].[Size].[Size]" caption="Size" numFmtId="0" hierarchy="18" level="1">
      <sharedItems count="3">
        <s v="Large"/>
        <s v="Medium"/>
        <s v="Small"/>
      </sharedItems>
    </cacheField>
    <cacheField name="[dim_customer].[Marital Status].[Marital Status]" caption="Marital Status" numFmtId="0" hierarchy="2" level="1">
      <sharedItems count="2">
        <s v="Married"/>
        <s v="Single"/>
      </sharedItems>
    </cacheField>
    <cacheField name="[Measures].[Total Sales]" caption="Total Sales" numFmtId="0" hierarchy="31" level="32767"/>
  </cacheFields>
  <cacheHierarchies count="39"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13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20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date].[DateKey]" caption="DateKey" attribute="1" defaultMemberUniqueName="[dim_date].[DateKey].[All]" allUniqueName="[dim_date].[DateKey].[All]" dimensionUniqueName="[dim_date]" displayFolder="" count="0" memberValueDatatype="20" unbalanced="0"/>
    <cacheHierarchy uniqueName="[dim_date].[Date]" caption="Date" attribute="1" defaultMemberUniqueName="[dim_date].[Date].[All]" allUniqueName="[dim_date].[Date].[All]" dimensionUniqueName="[dim_date]" displayFolder="" count="0" memberValueDatatype="130" unbalanced="0"/>
    <cacheHierarchy uniqueName="[dim_date].[Month No]" caption="Month No" attribute="1" defaultMemberUniqueName="[dim_date].[Month No].[All]" allUniqueName="[dim_date].[Month No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Measures].[Total Sales]" caption="Total Sales" measure="1" displayFolder="" measureGroup="fact_sales" count="0" oneField="1">
      <fieldsUsage count="1">
        <fieldUsage x="2"/>
      </fieldsUsage>
    </cacheHierarchy>
    <cacheHierarchy uniqueName="[Measures].[Total Quantity Sold]" caption="Total Quantity Sold" measure="1" displayFolder="" measureGroup="fact_sales" count="0"/>
    <cacheHierarchy uniqueName="[Measures].[Total Quantity Shipped]" caption="Total Quantity Shipped" measure="1" displayFolder="" measureGroup="fact_sales" count="0"/>
    <cacheHierarchy uniqueName="[Measures].[__XL_Count dim_product]" caption="__XL_Count dim_product" measure="1" displayFolder="" measureGroup="dim_product" count="0" hidden="1"/>
    <cacheHierarchy uniqueName="[Measures].[__XL_Count dim_customer]" caption="__XL_Count dim_customer" measure="1" displayFolder="" measureGroup="dim_customer" count="0" hidden="1"/>
    <cacheHierarchy uniqueName="[Measures].[__XL_Count dim_date]" caption="__XL_Count dim_date" measure="1" displayFolder="" measureGroup="dim_date" count="0" hidden="1"/>
    <cacheHierarchy uniqueName="[Measures].[__XL_Count fact_sales]" caption="__XL_Count fact_sales" measure="1" displayFolder="" measureGroup="fact_sales" count="0" hidden="1"/>
    <cacheHierarchy uniqueName="[Measures].[__No hay medidas definidas]" caption="__No hay medidas definidas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D337F-499E-462A-96DA-C17B6C364DE6}" name="TablaDinámica1" cacheId="10" applyNumberFormats="0" applyBorderFormats="0" applyFontFormats="0" applyPatternFormats="0" applyAlignmentFormats="0" applyWidthHeightFormats="1" dataCaption="Valores" tag="c50ad862-e458-4d5c-b3b0-dd0a3c5cf70c" updatedVersion="6" minRefreshableVersion="3" useAutoFormatting="1" itemPrintTitles="1" createdVersion="5" indent="0" outline="1" outlineData="1" multipleFieldFilters="0">
  <location ref="B3:O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fld="2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dim_date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9C401-F6F1-46C1-AEA7-91B8E49E3461}" name="TablaDinámica2" cacheId="21" applyNumberFormats="0" applyBorderFormats="0" applyFontFormats="0" applyPatternFormats="0" applyAlignmentFormats="0" applyWidthHeightFormats="1" dataCaption="Valores" tag="eeb1cde1-f4d9-4785-8a1d-5e6dc5d3dd7e" updatedVersion="6" minRefreshableVersion="3" useAutoFormatting="1" itemPrintTitles="1" createdVersion="5" indent="0" outline="1" outlineData="1" multipleFieldFilters="0">
  <location ref="B3:E15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fld="2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B92BF-0CD2-4552-A9E0-7E053C48C5D4}" name="TablaDinámica3" cacheId="29" applyNumberFormats="0" applyBorderFormats="0" applyFontFormats="0" applyPatternFormats="0" applyAlignmentFormats="0" applyWidthHeightFormats="1" dataCaption="Valores" tag="239337e2-c20a-4294-b6a2-f18b4329338c" updatedVersion="6" minRefreshableVersion="3" useAutoFormatting="1" itemPrintTitles="1" createdVersion="5" indent="0" outline="1" outlineData="1" multipleFieldFilters="0">
  <location ref="B3:C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490DB-A4CA-4947-B3EE-820C78105EC8}" name="TablaDinámica4" cacheId="37" applyNumberFormats="0" applyBorderFormats="0" applyFontFormats="0" applyPatternFormats="0" applyAlignmentFormats="0" applyWidthHeightFormats="1" dataCaption="Valores" tag="35df074c-d8c2-4a35-95a6-8254e5aa3ed1" updatedVersion="6" minRefreshableVersion="3" useAutoFormatting="1" itemPrintTitles="1" createdVersion="5" indent="0" outline="1" outlineData="1" multipleFieldFilters="0">
  <location ref="B3:C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1382D-7711-4F39-9F49-808E42936508}" name="TablaDinámica5" cacheId="48" applyNumberFormats="0" applyBorderFormats="0" applyFontFormats="0" applyPatternFormats="0" applyAlignmentFormats="0" applyWidthHeightFormats="1" dataCaption="Valores" tag="1a40bf66-2236-44fe-8737-9c3c17c02153" updatedVersion="6" minRefreshableVersion="3" useAutoFormatting="1" itemPrintTitles="1" createdVersion="5" indent="0" outline="1" outlineData="1" multipleFieldFilters="0">
  <location ref="B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fld="2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A365B8-A667-4E74-8925-A008A593DB3E}" name="Tabla1" displayName="Tabla1" ref="A1:Z101" totalsRowShown="0" headerRowDxfId="49" headerRowBorderDxfId="50" tableBorderDxfId="51">
  <autoFilter ref="A1:Z101" xr:uid="{33F090EE-8F5C-4212-A0BE-65DBCC73A1F2}"/>
  <tableColumns count="26">
    <tableColumn id="1" xr3:uid="{EE62845E-5F11-4275-8A72-650BD059CDD9}" name="ProductKey"/>
    <tableColumn id="2" xr3:uid="{9963BABE-7423-4AD9-85D9-967E95D607A7}" name="Product Code"/>
    <tableColumn id="3" xr3:uid="{3CB58402-3363-45BD-8522-06154ABA56EF}" name="Product Name"/>
    <tableColumn id="4" xr3:uid="{700622D1-FAC5-4071-A3E3-BE21FE82FDA4}" name="List Price"/>
    <tableColumn id="5" xr3:uid="{8E80BB4E-5B1E-431F-859C-878338374D8A}" name="Color"/>
    <tableColumn id="6" xr3:uid="{B0128BB5-B97F-49B6-B1A0-1D004C3208BC}" name="Size"/>
    <tableColumn id="7" xr3:uid="{5C2BD7E5-231E-4DBF-828A-23BEC4F9BD29}" name="Category"/>
    <tableColumn id="8" xr3:uid="{D5FF366D-369C-4E2A-AFC8-741A9E9CFD9A}" name="Subcategory"/>
    <tableColumn id="9" xr3:uid="{01F0CFCE-2B82-4A54-A507-62F9338B47B6}" name="CustomerKey"/>
    <tableColumn id="10" xr3:uid="{8A8916BB-5CAB-438C-8E36-41D4DD2ABF61}" name="Birth Date"/>
    <tableColumn id="11" xr3:uid="{584CCB9F-5CE7-4604-B61B-2365B3774BDC}" name="Marital Status"/>
    <tableColumn id="12" xr3:uid="{1D3A82D9-D1D1-4A22-A854-CA7B4232AFA7}" name="Gender"/>
    <tableColumn id="13" xr3:uid="{DD2EA433-DDEF-4E88-ACCB-BA6153C68803}" name="Income"/>
    <tableColumn id="14" xr3:uid="{9022C39E-B4D0-4FAD-8334-2A46CBA3889E}" name="Children"/>
    <tableColumn id="15" xr3:uid="{42F59716-0E23-416D-91F7-EED41657C0D8}" name="Home Owner"/>
    <tableColumn id="16" xr3:uid="{AC2E72F2-151D-41C9-A9D2-D52851CF6255}" name="Cars"/>
    <tableColumn id="17" xr3:uid="{897BE12E-33BB-4CBF-8886-46B0D5BFE653}" name="OrderDateKey"/>
    <tableColumn id="18" xr3:uid="{58E1F865-B341-415D-B171-3D7ABA074615}" name="Order Date"/>
    <tableColumn id="19" xr3:uid="{DC41FC23-95D9-4BC7-BA3E-475E2A483B2C}" name="ShipDateKey"/>
    <tableColumn id="20" xr3:uid="{E767D343-522B-4C5D-88FE-4B812343774D}" name="Ship Date"/>
    <tableColumn id="21" xr3:uid="{FAC74AF0-1E4B-47AB-B657-D0329563E53C}" name="OrderNumber"/>
    <tableColumn id="22" xr3:uid="{D54401EF-1256-44CD-B5BC-3A4D39AAD09F}" name="OrderLineNumber"/>
    <tableColumn id="23" xr3:uid="{2B3081CC-034A-4D24-B372-F40217D30254}" name="Quantity"/>
    <tableColumn id="24" xr3:uid="{F20DBB8C-6562-4FAF-A7EC-A8AF85C75646}" name="UnitPrice"/>
    <tableColumn id="25" xr3:uid="{D612F58C-F85C-460C-BE0E-DB4EA7130381}" name="ProductCost"/>
    <tableColumn id="26" xr3:uid="{38980C97-6A9A-44D3-AFD9-B76EAC02F1A7}" name="Sales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94749A-E0A7-4A0F-899E-2AC6D7D4F1DB}" name="fact_sales" displayName="fact_sales" ref="A1:J101" totalsRowShown="0" headerRowDxfId="0" dataDxfId="1" headerRowBorderDxfId="13" tableBorderDxfId="14" totalsRowBorderDxfId="12">
  <autoFilter ref="A1:J101" xr:uid="{20EC4BA7-B315-4BCB-B4BC-9698E07A86CD}"/>
  <tableColumns count="10">
    <tableColumn id="1" xr3:uid="{CE81C78D-B4ED-4996-BB96-271DE9401B14}" name="ProductKey" dataDxfId="11"/>
    <tableColumn id="2" xr3:uid="{F98C012B-5012-4B5E-9261-BD6F06321DE4}" name="CustomerKey" dataDxfId="10"/>
    <tableColumn id="3" xr3:uid="{894E49ED-DCF1-4735-A16D-33B48C67117A}" name="OrderDateKey" dataDxfId="9"/>
    <tableColumn id="4" xr3:uid="{F9E204EE-21A6-4EF5-A84B-E1B4526CB1DB}" name="ShipDateKey" dataDxfId="8"/>
    <tableColumn id="5" xr3:uid="{AD7C12A4-344C-4C1F-941C-5E59FFC0CD76}" name="OrderNumber" dataDxfId="7"/>
    <tableColumn id="6" xr3:uid="{28D48CB4-9039-4563-B569-BCA11C15DE68}" name="OrderLineNumber" dataDxfId="6"/>
    <tableColumn id="7" xr3:uid="{93C8A7FF-5839-45BA-BF69-CEB79BC981F9}" name="Quantity" dataDxfId="5"/>
    <tableColumn id="8" xr3:uid="{90D40603-1EE2-42C7-8110-0B569D06DFA0}" name="UnitPrice" dataDxfId="4"/>
    <tableColumn id="9" xr3:uid="{CFB799EC-5FBB-4113-8780-9F35828A35FE}" name="ProductCost" dataDxfId="3"/>
    <tableColumn id="10" xr3:uid="{27CA52D4-F322-4B79-AD8B-BE6D0CECF72F}" name="SalesAmount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FD8512-FFCF-409E-8507-0A4591A1FB74}" name="dim_product" displayName="dim_product" ref="A1:H10" totalsRowShown="0" headerRowDxfId="36" dataDxfId="37" headerRowBorderDxfId="47" tableBorderDxfId="48" totalsRowBorderDxfId="46">
  <autoFilter ref="A1:H10" xr:uid="{92CDB385-9EB9-4D9C-8A1B-143175B4520F}"/>
  <tableColumns count="8">
    <tableColumn id="1" xr3:uid="{8366B02E-B25D-4092-80A2-9CBA7F6C8F7C}" name="ProductKey" dataDxfId="45"/>
    <tableColumn id="2" xr3:uid="{2DA36D66-5B59-4964-8154-33379EA5C648}" name="Product Code" dataDxfId="44"/>
    <tableColumn id="3" xr3:uid="{13369C08-E157-4122-A716-4D0FBB121D39}" name="Product Name" dataDxfId="43"/>
    <tableColumn id="4" xr3:uid="{E7738CEC-328A-4966-AD2C-BF81831D121A}" name="List Price" dataDxfId="42"/>
    <tableColumn id="5" xr3:uid="{9713D6D0-0592-4C20-9F51-85859472B9C1}" name="Color" dataDxfId="41"/>
    <tableColumn id="6" xr3:uid="{C455787D-3ACB-427F-9CFC-48C4DA33E186}" name="Size" dataDxfId="40"/>
    <tableColumn id="7" xr3:uid="{3F934038-057D-4243-B30F-E753822CBACD}" name="Category" dataDxfId="39"/>
    <tableColumn id="8" xr3:uid="{79BE6CAC-C251-4E94-9230-EADBE51FF9E1}" name="Subcategory" dataDxfId="3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44B003-6C60-4A6B-9B5C-BBB552D00756}" name="dim_customer" displayName="dim_customer" ref="A1:H11" totalsRowShown="0" headerRowDxfId="23" dataDxfId="24" headerRowBorderDxfId="34" tableBorderDxfId="35" totalsRowBorderDxfId="33">
  <autoFilter ref="A1:H11" xr:uid="{5E1A216F-1B3F-4D2C-B11C-E09E51DF81EC}"/>
  <tableColumns count="8">
    <tableColumn id="1" xr3:uid="{22F58E68-E203-449F-8702-C6CA0BD30F12}" name="CustomerKey" dataDxfId="32"/>
    <tableColumn id="2" xr3:uid="{8DA5E43F-E9D0-4C1F-99DE-32402CB72FD3}" name="Birth Date" dataDxfId="31"/>
    <tableColumn id="3" xr3:uid="{42692E0C-BA47-45BA-A039-3337DD027D6E}" name="Marital Status" dataDxfId="30"/>
    <tableColumn id="4" xr3:uid="{194D5CC6-740A-4AB3-BE16-9CF402EAA2DF}" name="Gender" dataDxfId="29"/>
    <tableColumn id="5" xr3:uid="{5C713977-C1E5-4690-B30D-AC3C0AEB7F9E}" name="Income" dataDxfId="28"/>
    <tableColumn id="6" xr3:uid="{8CFDF4EB-2DE0-49CA-8B27-FDC25F84029F}" name="Children" dataDxfId="27"/>
    <tableColumn id="7" xr3:uid="{0B54F678-36EC-4C51-82F5-7828DABBC961}" name="Home Owner" dataDxfId="26"/>
    <tableColumn id="8" xr3:uid="{F90B9E18-2393-4257-9B19-A321200B7B21}" name="Cars" dataDxfId="2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DAF146-0C77-41F0-91C9-2C5481023025}" name="dim_date" displayName="dim_date" ref="A1:E148" totalsRowShown="0" headerRowBorderDxfId="21" tableBorderDxfId="22" totalsRowBorderDxfId="20">
  <autoFilter ref="A1:E148" xr:uid="{95977EA5-49A6-4E87-946E-200D24FEC831}"/>
  <tableColumns count="5">
    <tableColumn id="1" xr3:uid="{DAB15558-70F1-401E-824E-0C859E4358DD}" name="DateKey" dataDxfId="19"/>
    <tableColumn id="2" xr3:uid="{033565CE-5ABA-4526-9CEB-69B40EA9EB33}" name="Date" dataDxfId="18"/>
    <tableColumn id="3" xr3:uid="{23DC0D32-7661-4BBD-BF1E-F1DDFBBA89AF}" name="Month No" dataDxfId="17">
      <calculatedColumnFormula>MONTH(dim_date[[#This Row],[Date]])</calculatedColumnFormula>
    </tableColumn>
    <tableColumn id="4" xr3:uid="{A24466BD-57E6-4734-8789-D8E87AB0E401}" name="Month" dataDxfId="16">
      <calculatedColumnFormula>TEXT(dim_date[[#This Row],[Date]],"mmmm")</calculatedColumnFormula>
    </tableColumn>
    <tableColumn id="5" xr3:uid="{A082FE0A-2CAA-4BE0-88F5-D6D1539843AE}" name="Quarter" dataDxfId="15">
      <calculatedColumnFormula>"Q"&amp;ROUNDUP(MONTH(dim_date[[#This Row],[Date]])/3,0)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opLeftCell="S66" workbookViewId="0">
      <selection activeCell="U1" sqref="U1:Z101"/>
    </sheetView>
  </sheetViews>
  <sheetFormatPr baseColWidth="10" defaultColWidth="9.140625" defaultRowHeight="15" x14ac:dyDescent="0.25"/>
  <cols>
    <col min="1" max="1" width="13.28515625" customWidth="1"/>
    <col min="2" max="2" width="15" customWidth="1"/>
    <col min="3" max="3" width="15.7109375" customWidth="1"/>
    <col min="4" max="4" width="11" customWidth="1"/>
    <col min="7" max="7" width="11" customWidth="1"/>
    <col min="8" max="8" width="14" customWidth="1"/>
    <col min="9" max="9" width="15" customWidth="1"/>
    <col min="10" max="10" width="12" customWidth="1"/>
    <col min="11" max="11" width="15.42578125" customWidth="1"/>
    <col min="12" max="12" width="9.85546875" customWidth="1"/>
    <col min="13" max="13" width="9.7109375" customWidth="1"/>
    <col min="14" max="14" width="10.7109375" customWidth="1"/>
    <col min="15" max="15" width="14.85546875" customWidth="1"/>
    <col min="17" max="17" width="15.7109375" customWidth="1"/>
    <col min="18" max="18" width="12.85546875" customWidth="1"/>
    <col min="19" max="19" width="14.42578125" customWidth="1"/>
    <col min="20" max="20" width="11.5703125" customWidth="1"/>
    <col min="21" max="21" width="15.5703125" customWidth="1"/>
    <col min="22" max="22" width="19.28515625" customWidth="1"/>
    <col min="23" max="23" width="10.85546875" customWidth="1"/>
    <col min="24" max="24" width="11.42578125" customWidth="1"/>
    <col min="25" max="25" width="13.85546875" customWidth="1"/>
    <col min="26" max="26" width="14.85546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105</v>
      </c>
      <c r="B2" t="s">
        <v>26</v>
      </c>
      <c r="C2" t="s">
        <v>35</v>
      </c>
      <c r="D2">
        <v>165</v>
      </c>
      <c r="E2" t="s">
        <v>44</v>
      </c>
      <c r="F2" t="s">
        <v>48</v>
      </c>
      <c r="G2" t="s">
        <v>51</v>
      </c>
      <c r="H2" t="s">
        <v>53</v>
      </c>
      <c r="I2">
        <v>1010</v>
      </c>
      <c r="J2" t="s">
        <v>59</v>
      </c>
      <c r="K2" t="s">
        <v>69</v>
      </c>
      <c r="L2" t="s">
        <v>71</v>
      </c>
      <c r="M2">
        <v>68571</v>
      </c>
      <c r="N2">
        <v>0</v>
      </c>
      <c r="O2" t="s">
        <v>73</v>
      </c>
      <c r="P2">
        <v>1</v>
      </c>
      <c r="Q2">
        <v>20220131</v>
      </c>
      <c r="R2" t="s">
        <v>75</v>
      </c>
      <c r="S2">
        <v>20220203</v>
      </c>
      <c r="T2" t="s">
        <v>136</v>
      </c>
      <c r="U2" t="s">
        <v>222</v>
      </c>
      <c r="V2">
        <v>1</v>
      </c>
      <c r="W2">
        <v>2</v>
      </c>
      <c r="X2">
        <v>165</v>
      </c>
      <c r="Y2">
        <v>159</v>
      </c>
      <c r="Z2">
        <v>330</v>
      </c>
    </row>
    <row r="3" spans="1:26" x14ac:dyDescent="0.25">
      <c r="A3">
        <v>144</v>
      </c>
      <c r="B3" t="s">
        <v>27</v>
      </c>
      <c r="C3" t="s">
        <v>36</v>
      </c>
      <c r="D3">
        <v>259</v>
      </c>
      <c r="E3" t="s">
        <v>45</v>
      </c>
      <c r="F3" t="s">
        <v>49</v>
      </c>
      <c r="G3" t="s">
        <v>51</v>
      </c>
      <c r="H3" t="s">
        <v>54</v>
      </c>
      <c r="I3">
        <v>1010</v>
      </c>
      <c r="J3" t="s">
        <v>59</v>
      </c>
      <c r="K3" t="s">
        <v>69</v>
      </c>
      <c r="L3" t="s">
        <v>71</v>
      </c>
      <c r="M3">
        <v>68571</v>
      </c>
      <c r="N3">
        <v>0</v>
      </c>
      <c r="O3" t="s">
        <v>73</v>
      </c>
      <c r="P3">
        <v>1</v>
      </c>
      <c r="Q3">
        <v>20220928</v>
      </c>
      <c r="R3" t="s">
        <v>76</v>
      </c>
      <c r="S3">
        <v>20221001</v>
      </c>
      <c r="T3" t="s">
        <v>137</v>
      </c>
      <c r="U3" t="s">
        <v>223</v>
      </c>
      <c r="V3">
        <v>1</v>
      </c>
      <c r="W3">
        <v>3</v>
      </c>
      <c r="X3">
        <v>259</v>
      </c>
      <c r="Y3">
        <v>251</v>
      </c>
      <c r="Z3">
        <v>777</v>
      </c>
    </row>
    <row r="4" spans="1:26" x14ac:dyDescent="0.25">
      <c r="A4">
        <v>112</v>
      </c>
      <c r="B4" t="s">
        <v>28</v>
      </c>
      <c r="C4" t="s">
        <v>37</v>
      </c>
      <c r="D4">
        <v>465</v>
      </c>
      <c r="E4" t="s">
        <v>46</v>
      </c>
      <c r="F4" t="s">
        <v>50</v>
      </c>
      <c r="G4" t="s">
        <v>52</v>
      </c>
      <c r="H4" t="s">
        <v>55</v>
      </c>
      <c r="I4">
        <v>1043</v>
      </c>
      <c r="J4" t="s">
        <v>60</v>
      </c>
      <c r="K4" t="s">
        <v>70</v>
      </c>
      <c r="L4" t="s">
        <v>72</v>
      </c>
      <c r="M4">
        <v>25072</v>
      </c>
      <c r="N4">
        <v>1</v>
      </c>
      <c r="O4" t="s">
        <v>73</v>
      </c>
      <c r="P4">
        <v>2</v>
      </c>
      <c r="Q4">
        <v>20251027</v>
      </c>
      <c r="R4" t="s">
        <v>77</v>
      </c>
      <c r="S4">
        <v>20251030</v>
      </c>
      <c r="T4" t="s">
        <v>138</v>
      </c>
      <c r="U4" t="s">
        <v>224</v>
      </c>
      <c r="V4">
        <v>1</v>
      </c>
      <c r="W4">
        <v>1</v>
      </c>
      <c r="X4">
        <v>465</v>
      </c>
      <c r="Y4">
        <v>452</v>
      </c>
      <c r="Z4">
        <v>465</v>
      </c>
    </row>
    <row r="5" spans="1:26" x14ac:dyDescent="0.25">
      <c r="A5">
        <v>119</v>
      </c>
      <c r="B5" t="s">
        <v>29</v>
      </c>
      <c r="C5" t="s">
        <v>38</v>
      </c>
      <c r="D5">
        <v>282</v>
      </c>
      <c r="E5" t="s">
        <v>47</v>
      </c>
      <c r="F5" t="s">
        <v>49</v>
      </c>
      <c r="G5" t="s">
        <v>52</v>
      </c>
      <c r="H5" t="s">
        <v>56</v>
      </c>
      <c r="I5">
        <v>1002</v>
      </c>
      <c r="J5" t="s">
        <v>61</v>
      </c>
      <c r="K5" t="s">
        <v>70</v>
      </c>
      <c r="L5" t="s">
        <v>72</v>
      </c>
      <c r="M5">
        <v>64715</v>
      </c>
      <c r="N5">
        <v>1</v>
      </c>
      <c r="O5" t="s">
        <v>74</v>
      </c>
      <c r="P5">
        <v>1</v>
      </c>
      <c r="Q5">
        <v>20231207</v>
      </c>
      <c r="R5" t="s">
        <v>78</v>
      </c>
      <c r="S5">
        <v>20231210</v>
      </c>
      <c r="T5" t="s">
        <v>139</v>
      </c>
      <c r="U5" t="s">
        <v>225</v>
      </c>
      <c r="V5">
        <v>1</v>
      </c>
      <c r="W5">
        <v>5</v>
      </c>
      <c r="X5">
        <v>282</v>
      </c>
      <c r="Y5">
        <v>273</v>
      </c>
      <c r="Z5">
        <v>1410</v>
      </c>
    </row>
    <row r="6" spans="1:26" x14ac:dyDescent="0.25">
      <c r="A6">
        <v>121</v>
      </c>
      <c r="B6" t="s">
        <v>30</v>
      </c>
      <c r="C6" t="s">
        <v>39</v>
      </c>
      <c r="D6">
        <v>215</v>
      </c>
      <c r="E6" t="s">
        <v>44</v>
      </c>
      <c r="F6" t="s">
        <v>50</v>
      </c>
      <c r="G6" t="s">
        <v>52</v>
      </c>
      <c r="H6" t="s">
        <v>55</v>
      </c>
      <c r="I6">
        <v>1043</v>
      </c>
      <c r="J6" t="s">
        <v>60</v>
      </c>
      <c r="K6" t="s">
        <v>70</v>
      </c>
      <c r="L6" t="s">
        <v>72</v>
      </c>
      <c r="M6">
        <v>25072</v>
      </c>
      <c r="N6">
        <v>1</v>
      </c>
      <c r="O6" t="s">
        <v>73</v>
      </c>
      <c r="P6">
        <v>2</v>
      </c>
      <c r="Q6">
        <v>20220416</v>
      </c>
      <c r="R6" t="s">
        <v>79</v>
      </c>
      <c r="S6">
        <v>20220418</v>
      </c>
      <c r="T6" t="s">
        <v>140</v>
      </c>
      <c r="U6" t="s">
        <v>226</v>
      </c>
      <c r="V6">
        <v>1</v>
      </c>
      <c r="W6">
        <v>3</v>
      </c>
      <c r="X6">
        <v>215</v>
      </c>
      <c r="Y6">
        <v>208</v>
      </c>
      <c r="Z6">
        <v>645</v>
      </c>
    </row>
    <row r="7" spans="1:26" x14ac:dyDescent="0.25">
      <c r="A7">
        <v>114</v>
      </c>
      <c r="B7" t="s">
        <v>31</v>
      </c>
      <c r="C7" t="s">
        <v>40</v>
      </c>
      <c r="D7">
        <v>253</v>
      </c>
      <c r="E7" t="s">
        <v>47</v>
      </c>
      <c r="F7" t="s">
        <v>48</v>
      </c>
      <c r="G7" t="s">
        <v>52</v>
      </c>
      <c r="H7" t="s">
        <v>55</v>
      </c>
      <c r="I7">
        <v>1030</v>
      </c>
      <c r="J7" t="s">
        <v>62</v>
      </c>
      <c r="K7" t="s">
        <v>70</v>
      </c>
      <c r="L7" t="s">
        <v>72</v>
      </c>
      <c r="M7">
        <v>51346</v>
      </c>
      <c r="N7">
        <v>2</v>
      </c>
      <c r="O7" t="s">
        <v>73</v>
      </c>
      <c r="P7">
        <v>1</v>
      </c>
      <c r="Q7">
        <v>20240420</v>
      </c>
      <c r="R7" t="s">
        <v>80</v>
      </c>
      <c r="S7">
        <v>20240423</v>
      </c>
      <c r="T7" t="s">
        <v>141</v>
      </c>
      <c r="U7" t="s">
        <v>227</v>
      </c>
      <c r="V7">
        <v>1</v>
      </c>
      <c r="W7">
        <v>3</v>
      </c>
      <c r="X7">
        <v>253</v>
      </c>
      <c r="Y7">
        <v>240</v>
      </c>
      <c r="Z7">
        <v>759</v>
      </c>
    </row>
    <row r="8" spans="1:26" x14ac:dyDescent="0.25">
      <c r="A8">
        <v>112</v>
      </c>
      <c r="B8" t="s">
        <v>28</v>
      </c>
      <c r="C8" t="s">
        <v>37</v>
      </c>
      <c r="D8">
        <v>465</v>
      </c>
      <c r="E8" t="s">
        <v>46</v>
      </c>
      <c r="F8" t="s">
        <v>50</v>
      </c>
      <c r="G8" t="s">
        <v>52</v>
      </c>
      <c r="H8" t="s">
        <v>55</v>
      </c>
      <c r="I8">
        <v>1043</v>
      </c>
      <c r="J8" t="s">
        <v>60</v>
      </c>
      <c r="K8" t="s">
        <v>70</v>
      </c>
      <c r="L8" t="s">
        <v>72</v>
      </c>
      <c r="M8">
        <v>25072</v>
      </c>
      <c r="N8">
        <v>1</v>
      </c>
      <c r="O8" t="s">
        <v>73</v>
      </c>
      <c r="P8">
        <v>2</v>
      </c>
      <c r="Q8">
        <v>20220501</v>
      </c>
      <c r="R8" t="s">
        <v>81</v>
      </c>
      <c r="S8">
        <v>20220504</v>
      </c>
      <c r="T8" t="s">
        <v>142</v>
      </c>
      <c r="U8" t="s">
        <v>228</v>
      </c>
      <c r="V8">
        <v>1</v>
      </c>
      <c r="W8">
        <v>2</v>
      </c>
      <c r="X8">
        <v>465</v>
      </c>
      <c r="Y8">
        <v>451</v>
      </c>
      <c r="Z8">
        <v>930</v>
      </c>
    </row>
    <row r="9" spans="1:26" x14ac:dyDescent="0.25">
      <c r="A9">
        <v>119</v>
      </c>
      <c r="B9" t="s">
        <v>29</v>
      </c>
      <c r="C9" t="s">
        <v>38</v>
      </c>
      <c r="D9">
        <v>282</v>
      </c>
      <c r="E9" t="s">
        <v>47</v>
      </c>
      <c r="F9" t="s">
        <v>49</v>
      </c>
      <c r="G9" t="s">
        <v>52</v>
      </c>
      <c r="H9" t="s">
        <v>56</v>
      </c>
      <c r="I9">
        <v>1043</v>
      </c>
      <c r="J9" t="s">
        <v>60</v>
      </c>
      <c r="K9" t="s">
        <v>70</v>
      </c>
      <c r="L9" t="s">
        <v>72</v>
      </c>
      <c r="M9">
        <v>25072</v>
      </c>
      <c r="N9">
        <v>1</v>
      </c>
      <c r="O9" t="s">
        <v>73</v>
      </c>
      <c r="P9">
        <v>2</v>
      </c>
      <c r="Q9">
        <v>20240619</v>
      </c>
      <c r="R9" t="s">
        <v>82</v>
      </c>
      <c r="S9">
        <v>20240621</v>
      </c>
      <c r="T9" t="s">
        <v>143</v>
      </c>
      <c r="U9" t="s">
        <v>229</v>
      </c>
      <c r="V9">
        <v>1</v>
      </c>
      <c r="W9">
        <v>2</v>
      </c>
      <c r="X9">
        <v>282</v>
      </c>
      <c r="Y9">
        <v>270</v>
      </c>
      <c r="Z9">
        <v>564</v>
      </c>
    </row>
    <row r="10" spans="1:26" x14ac:dyDescent="0.25">
      <c r="A10">
        <v>119</v>
      </c>
      <c r="B10" t="s">
        <v>29</v>
      </c>
      <c r="C10" t="s">
        <v>38</v>
      </c>
      <c r="D10">
        <v>282</v>
      </c>
      <c r="E10" t="s">
        <v>47</v>
      </c>
      <c r="F10" t="s">
        <v>49</v>
      </c>
      <c r="G10" t="s">
        <v>52</v>
      </c>
      <c r="H10" t="s">
        <v>56</v>
      </c>
      <c r="I10">
        <v>1014</v>
      </c>
      <c r="J10" t="s">
        <v>63</v>
      </c>
      <c r="K10" t="s">
        <v>70</v>
      </c>
      <c r="L10" t="s">
        <v>72</v>
      </c>
      <c r="M10">
        <v>38460</v>
      </c>
      <c r="N10">
        <v>0</v>
      </c>
      <c r="O10" t="s">
        <v>73</v>
      </c>
      <c r="P10">
        <v>0</v>
      </c>
      <c r="Q10">
        <v>20220317</v>
      </c>
      <c r="R10" t="s">
        <v>83</v>
      </c>
      <c r="S10">
        <v>20220320</v>
      </c>
      <c r="T10" t="s">
        <v>144</v>
      </c>
      <c r="U10" t="s">
        <v>230</v>
      </c>
      <c r="V10">
        <v>1</v>
      </c>
      <c r="W10">
        <v>1</v>
      </c>
      <c r="X10">
        <v>282</v>
      </c>
      <c r="Y10">
        <v>267</v>
      </c>
      <c r="Z10">
        <v>282</v>
      </c>
    </row>
    <row r="11" spans="1:26" x14ac:dyDescent="0.25">
      <c r="A11">
        <v>141</v>
      </c>
      <c r="B11" t="s">
        <v>32</v>
      </c>
      <c r="C11" t="s">
        <v>41</v>
      </c>
      <c r="D11">
        <v>66</v>
      </c>
      <c r="E11" t="s">
        <v>44</v>
      </c>
      <c r="F11" t="s">
        <v>50</v>
      </c>
      <c r="G11" t="s">
        <v>51</v>
      </c>
      <c r="H11" t="s">
        <v>57</v>
      </c>
      <c r="I11">
        <v>1018</v>
      </c>
      <c r="J11" t="s">
        <v>64</v>
      </c>
      <c r="K11" t="s">
        <v>70</v>
      </c>
      <c r="L11" t="s">
        <v>71</v>
      </c>
      <c r="M11">
        <v>49779</v>
      </c>
      <c r="N11">
        <v>2</v>
      </c>
      <c r="O11" t="s">
        <v>74</v>
      </c>
      <c r="P11">
        <v>0</v>
      </c>
      <c r="Q11">
        <v>20230610</v>
      </c>
      <c r="R11" t="s">
        <v>84</v>
      </c>
      <c r="S11">
        <v>20230613</v>
      </c>
      <c r="T11" t="s">
        <v>145</v>
      </c>
      <c r="U11" t="s">
        <v>231</v>
      </c>
      <c r="V11">
        <v>1</v>
      </c>
      <c r="W11">
        <v>5</v>
      </c>
      <c r="X11">
        <v>66</v>
      </c>
      <c r="Y11">
        <v>52</v>
      </c>
      <c r="Z11">
        <v>330</v>
      </c>
    </row>
    <row r="12" spans="1:26" x14ac:dyDescent="0.25">
      <c r="A12">
        <v>114</v>
      </c>
      <c r="B12" t="s">
        <v>31</v>
      </c>
      <c r="C12" t="s">
        <v>40</v>
      </c>
      <c r="D12">
        <v>253</v>
      </c>
      <c r="E12" t="s">
        <v>47</v>
      </c>
      <c r="F12" t="s">
        <v>48</v>
      </c>
      <c r="G12" t="s">
        <v>52</v>
      </c>
      <c r="H12" t="s">
        <v>55</v>
      </c>
      <c r="I12">
        <v>1030</v>
      </c>
      <c r="J12" t="s">
        <v>62</v>
      </c>
      <c r="K12" t="s">
        <v>70</v>
      </c>
      <c r="L12" t="s">
        <v>72</v>
      </c>
      <c r="M12">
        <v>51346</v>
      </c>
      <c r="N12">
        <v>2</v>
      </c>
      <c r="O12" t="s">
        <v>73</v>
      </c>
      <c r="P12">
        <v>1</v>
      </c>
      <c r="Q12">
        <v>20230908</v>
      </c>
      <c r="R12" t="s">
        <v>85</v>
      </c>
      <c r="S12">
        <v>20230909</v>
      </c>
      <c r="T12" t="s">
        <v>146</v>
      </c>
      <c r="U12" t="s">
        <v>232</v>
      </c>
      <c r="V12">
        <v>1</v>
      </c>
      <c r="W12">
        <v>1</v>
      </c>
      <c r="X12">
        <v>253</v>
      </c>
      <c r="Y12">
        <v>240</v>
      </c>
      <c r="Z12">
        <v>253</v>
      </c>
    </row>
    <row r="13" spans="1:26" x14ac:dyDescent="0.25">
      <c r="A13">
        <v>128</v>
      </c>
      <c r="B13" t="s">
        <v>33</v>
      </c>
      <c r="C13" t="s">
        <v>42</v>
      </c>
      <c r="D13">
        <v>401</v>
      </c>
      <c r="E13" t="s">
        <v>47</v>
      </c>
      <c r="F13" t="s">
        <v>50</v>
      </c>
      <c r="G13" t="s">
        <v>52</v>
      </c>
      <c r="H13" t="s">
        <v>58</v>
      </c>
      <c r="I13">
        <v>1010</v>
      </c>
      <c r="J13" t="s">
        <v>59</v>
      </c>
      <c r="K13" t="s">
        <v>69</v>
      </c>
      <c r="L13" t="s">
        <v>71</v>
      </c>
      <c r="M13">
        <v>68571</v>
      </c>
      <c r="N13">
        <v>0</v>
      </c>
      <c r="O13" t="s">
        <v>73</v>
      </c>
      <c r="P13">
        <v>1</v>
      </c>
      <c r="Q13">
        <v>20240405</v>
      </c>
      <c r="R13" t="s">
        <v>86</v>
      </c>
      <c r="S13">
        <v>20240406</v>
      </c>
      <c r="T13" t="s">
        <v>147</v>
      </c>
      <c r="U13" t="s">
        <v>233</v>
      </c>
      <c r="V13">
        <v>1</v>
      </c>
      <c r="W13">
        <v>4</v>
      </c>
      <c r="X13">
        <v>401</v>
      </c>
      <c r="Y13">
        <v>387</v>
      </c>
      <c r="Z13">
        <v>1604</v>
      </c>
    </row>
    <row r="14" spans="1:26" x14ac:dyDescent="0.25">
      <c r="A14">
        <v>112</v>
      </c>
      <c r="B14" t="s">
        <v>28</v>
      </c>
      <c r="C14" t="s">
        <v>37</v>
      </c>
      <c r="D14">
        <v>465</v>
      </c>
      <c r="E14" t="s">
        <v>46</v>
      </c>
      <c r="F14" t="s">
        <v>50</v>
      </c>
      <c r="G14" t="s">
        <v>52</v>
      </c>
      <c r="H14" t="s">
        <v>55</v>
      </c>
      <c r="I14">
        <v>1022</v>
      </c>
      <c r="J14" t="s">
        <v>65</v>
      </c>
      <c r="K14" t="s">
        <v>70</v>
      </c>
      <c r="L14" t="s">
        <v>71</v>
      </c>
      <c r="M14">
        <v>52944</v>
      </c>
      <c r="N14">
        <v>3</v>
      </c>
      <c r="O14" t="s">
        <v>73</v>
      </c>
      <c r="P14">
        <v>1</v>
      </c>
      <c r="Q14">
        <v>20250430</v>
      </c>
      <c r="R14" t="s">
        <v>87</v>
      </c>
      <c r="S14">
        <v>20250502</v>
      </c>
      <c r="T14" t="s">
        <v>148</v>
      </c>
      <c r="U14" t="s">
        <v>234</v>
      </c>
      <c r="V14">
        <v>1</v>
      </c>
      <c r="W14">
        <v>4</v>
      </c>
      <c r="X14">
        <v>465</v>
      </c>
      <c r="Y14">
        <v>459</v>
      </c>
      <c r="Z14">
        <v>1860</v>
      </c>
    </row>
    <row r="15" spans="1:26" x14ac:dyDescent="0.25">
      <c r="A15">
        <v>119</v>
      </c>
      <c r="B15" t="s">
        <v>29</v>
      </c>
      <c r="C15" t="s">
        <v>38</v>
      </c>
      <c r="D15">
        <v>282</v>
      </c>
      <c r="E15" t="s">
        <v>47</v>
      </c>
      <c r="F15" t="s">
        <v>49</v>
      </c>
      <c r="G15" t="s">
        <v>52</v>
      </c>
      <c r="H15" t="s">
        <v>56</v>
      </c>
      <c r="I15">
        <v>1030</v>
      </c>
      <c r="J15" t="s">
        <v>62</v>
      </c>
      <c r="K15" t="s">
        <v>70</v>
      </c>
      <c r="L15" t="s">
        <v>72</v>
      </c>
      <c r="M15">
        <v>51346</v>
      </c>
      <c r="N15">
        <v>2</v>
      </c>
      <c r="O15" t="s">
        <v>73</v>
      </c>
      <c r="P15">
        <v>1</v>
      </c>
      <c r="Q15">
        <v>20250430</v>
      </c>
      <c r="R15" t="s">
        <v>87</v>
      </c>
      <c r="S15">
        <v>20250503</v>
      </c>
      <c r="T15" t="s">
        <v>149</v>
      </c>
      <c r="U15" t="s">
        <v>235</v>
      </c>
      <c r="V15">
        <v>1</v>
      </c>
      <c r="W15">
        <v>3</v>
      </c>
      <c r="X15">
        <v>282</v>
      </c>
      <c r="Y15">
        <v>269</v>
      </c>
      <c r="Z15">
        <v>846</v>
      </c>
    </row>
    <row r="16" spans="1:26" x14ac:dyDescent="0.25">
      <c r="A16">
        <v>112</v>
      </c>
      <c r="B16" t="s">
        <v>28</v>
      </c>
      <c r="C16" t="s">
        <v>37</v>
      </c>
      <c r="D16">
        <v>465</v>
      </c>
      <c r="E16" t="s">
        <v>46</v>
      </c>
      <c r="F16" t="s">
        <v>50</v>
      </c>
      <c r="G16" t="s">
        <v>52</v>
      </c>
      <c r="H16" t="s">
        <v>55</v>
      </c>
      <c r="I16">
        <v>1002</v>
      </c>
      <c r="J16" t="s">
        <v>61</v>
      </c>
      <c r="K16" t="s">
        <v>70</v>
      </c>
      <c r="L16" t="s">
        <v>72</v>
      </c>
      <c r="M16">
        <v>64715</v>
      </c>
      <c r="N16">
        <v>1</v>
      </c>
      <c r="O16" t="s">
        <v>74</v>
      </c>
      <c r="P16">
        <v>1</v>
      </c>
      <c r="Q16">
        <v>20240604</v>
      </c>
      <c r="R16" t="s">
        <v>88</v>
      </c>
      <c r="S16">
        <v>20240606</v>
      </c>
      <c r="T16" t="s">
        <v>150</v>
      </c>
      <c r="U16" t="s">
        <v>236</v>
      </c>
      <c r="V16">
        <v>1</v>
      </c>
      <c r="W16">
        <v>3</v>
      </c>
      <c r="X16">
        <v>465</v>
      </c>
      <c r="Y16">
        <v>454</v>
      </c>
      <c r="Z16">
        <v>1395</v>
      </c>
    </row>
    <row r="17" spans="1:26" x14ac:dyDescent="0.25">
      <c r="A17">
        <v>141</v>
      </c>
      <c r="B17" t="s">
        <v>32</v>
      </c>
      <c r="C17" t="s">
        <v>41</v>
      </c>
      <c r="D17">
        <v>66</v>
      </c>
      <c r="E17" t="s">
        <v>44</v>
      </c>
      <c r="F17" t="s">
        <v>50</v>
      </c>
      <c r="G17" t="s">
        <v>51</v>
      </c>
      <c r="H17" t="s">
        <v>57</v>
      </c>
      <c r="I17">
        <v>1014</v>
      </c>
      <c r="J17" t="s">
        <v>63</v>
      </c>
      <c r="K17" t="s">
        <v>70</v>
      </c>
      <c r="L17" t="s">
        <v>72</v>
      </c>
      <c r="M17">
        <v>38460</v>
      </c>
      <c r="N17">
        <v>0</v>
      </c>
      <c r="O17" t="s">
        <v>73</v>
      </c>
      <c r="P17">
        <v>0</v>
      </c>
      <c r="Q17">
        <v>20241116</v>
      </c>
      <c r="R17" t="s">
        <v>89</v>
      </c>
      <c r="S17">
        <v>20241119</v>
      </c>
      <c r="T17" t="s">
        <v>151</v>
      </c>
      <c r="U17" t="s">
        <v>237</v>
      </c>
      <c r="V17">
        <v>1</v>
      </c>
      <c r="W17">
        <v>4</v>
      </c>
      <c r="X17">
        <v>66</v>
      </c>
      <c r="Y17">
        <v>58</v>
      </c>
      <c r="Z17">
        <v>264</v>
      </c>
    </row>
    <row r="18" spans="1:26" x14ac:dyDescent="0.25">
      <c r="A18">
        <v>144</v>
      </c>
      <c r="B18" t="s">
        <v>27</v>
      </c>
      <c r="C18" t="s">
        <v>36</v>
      </c>
      <c r="D18">
        <v>259</v>
      </c>
      <c r="E18" t="s">
        <v>45</v>
      </c>
      <c r="F18" t="s">
        <v>49</v>
      </c>
      <c r="G18" t="s">
        <v>51</v>
      </c>
      <c r="H18" t="s">
        <v>54</v>
      </c>
      <c r="I18">
        <v>1030</v>
      </c>
      <c r="J18" t="s">
        <v>62</v>
      </c>
      <c r="K18" t="s">
        <v>70</v>
      </c>
      <c r="L18" t="s">
        <v>72</v>
      </c>
      <c r="M18">
        <v>51346</v>
      </c>
      <c r="N18">
        <v>2</v>
      </c>
      <c r="O18" t="s">
        <v>73</v>
      </c>
      <c r="P18">
        <v>1</v>
      </c>
      <c r="Q18">
        <v>20240306</v>
      </c>
      <c r="R18" t="s">
        <v>90</v>
      </c>
      <c r="S18">
        <v>20240307</v>
      </c>
      <c r="T18" t="s">
        <v>152</v>
      </c>
      <c r="U18" t="s">
        <v>238</v>
      </c>
      <c r="V18">
        <v>1</v>
      </c>
      <c r="W18">
        <v>1</v>
      </c>
      <c r="X18">
        <v>259</v>
      </c>
      <c r="Y18">
        <v>253</v>
      </c>
      <c r="Z18">
        <v>259</v>
      </c>
    </row>
    <row r="19" spans="1:26" x14ac:dyDescent="0.25">
      <c r="A19">
        <v>118</v>
      </c>
      <c r="B19" t="s">
        <v>34</v>
      </c>
      <c r="C19" t="s">
        <v>43</v>
      </c>
      <c r="D19">
        <v>63</v>
      </c>
      <c r="E19" t="s">
        <v>44</v>
      </c>
      <c r="F19" t="s">
        <v>48</v>
      </c>
      <c r="G19" t="s">
        <v>51</v>
      </c>
      <c r="H19" t="s">
        <v>53</v>
      </c>
      <c r="I19">
        <v>1030</v>
      </c>
      <c r="J19" t="s">
        <v>62</v>
      </c>
      <c r="K19" t="s">
        <v>70</v>
      </c>
      <c r="L19" t="s">
        <v>72</v>
      </c>
      <c r="M19">
        <v>51346</v>
      </c>
      <c r="N19">
        <v>2</v>
      </c>
      <c r="O19" t="s">
        <v>73</v>
      </c>
      <c r="P19">
        <v>1</v>
      </c>
      <c r="Q19">
        <v>20240505</v>
      </c>
      <c r="R19" t="s">
        <v>91</v>
      </c>
      <c r="S19">
        <v>20240507</v>
      </c>
      <c r="T19" t="s">
        <v>153</v>
      </c>
      <c r="U19" t="s">
        <v>239</v>
      </c>
      <c r="V19">
        <v>1</v>
      </c>
      <c r="W19">
        <v>3</v>
      </c>
      <c r="X19">
        <v>63</v>
      </c>
      <c r="Y19">
        <v>55</v>
      </c>
      <c r="Z19">
        <v>189</v>
      </c>
    </row>
    <row r="20" spans="1:26" x14ac:dyDescent="0.25">
      <c r="A20">
        <v>118</v>
      </c>
      <c r="B20" t="s">
        <v>34</v>
      </c>
      <c r="C20" t="s">
        <v>43</v>
      </c>
      <c r="D20">
        <v>63</v>
      </c>
      <c r="E20" t="s">
        <v>44</v>
      </c>
      <c r="F20" t="s">
        <v>48</v>
      </c>
      <c r="G20" t="s">
        <v>51</v>
      </c>
      <c r="H20" t="s">
        <v>53</v>
      </c>
      <c r="I20">
        <v>1007</v>
      </c>
      <c r="J20" t="s">
        <v>66</v>
      </c>
      <c r="K20" t="s">
        <v>69</v>
      </c>
      <c r="L20" t="s">
        <v>72</v>
      </c>
      <c r="M20">
        <v>72282</v>
      </c>
      <c r="N20">
        <v>4</v>
      </c>
      <c r="O20" t="s">
        <v>73</v>
      </c>
      <c r="P20">
        <v>3</v>
      </c>
      <c r="Q20">
        <v>20251211</v>
      </c>
      <c r="R20" t="s">
        <v>92</v>
      </c>
      <c r="S20">
        <v>20251213</v>
      </c>
      <c r="T20" t="s">
        <v>154</v>
      </c>
      <c r="U20" t="s">
        <v>240</v>
      </c>
      <c r="V20">
        <v>1</v>
      </c>
      <c r="W20">
        <v>3</v>
      </c>
      <c r="X20">
        <v>63</v>
      </c>
      <c r="Y20">
        <v>48</v>
      </c>
      <c r="Z20">
        <v>189</v>
      </c>
    </row>
    <row r="21" spans="1:26" x14ac:dyDescent="0.25">
      <c r="A21">
        <v>112</v>
      </c>
      <c r="B21" t="s">
        <v>28</v>
      </c>
      <c r="C21" t="s">
        <v>37</v>
      </c>
      <c r="D21">
        <v>465</v>
      </c>
      <c r="E21" t="s">
        <v>46</v>
      </c>
      <c r="F21" t="s">
        <v>50</v>
      </c>
      <c r="G21" t="s">
        <v>52</v>
      </c>
      <c r="H21" t="s">
        <v>55</v>
      </c>
      <c r="I21">
        <v>1022</v>
      </c>
      <c r="J21" t="s">
        <v>65</v>
      </c>
      <c r="K21" t="s">
        <v>70</v>
      </c>
      <c r="L21" t="s">
        <v>71</v>
      </c>
      <c r="M21">
        <v>52944</v>
      </c>
      <c r="N21">
        <v>3</v>
      </c>
      <c r="O21" t="s">
        <v>73</v>
      </c>
      <c r="P21">
        <v>1</v>
      </c>
      <c r="Q21">
        <v>20220615</v>
      </c>
      <c r="R21" t="s">
        <v>93</v>
      </c>
      <c r="S21">
        <v>20220616</v>
      </c>
      <c r="T21" t="s">
        <v>155</v>
      </c>
      <c r="U21" t="s">
        <v>241</v>
      </c>
      <c r="V21">
        <v>1</v>
      </c>
      <c r="W21">
        <v>5</v>
      </c>
      <c r="X21">
        <v>465</v>
      </c>
      <c r="Y21">
        <v>451</v>
      </c>
      <c r="Z21">
        <v>2325</v>
      </c>
    </row>
    <row r="22" spans="1:26" x14ac:dyDescent="0.25">
      <c r="A22">
        <v>144</v>
      </c>
      <c r="B22" t="s">
        <v>27</v>
      </c>
      <c r="C22" t="s">
        <v>36</v>
      </c>
      <c r="D22">
        <v>259</v>
      </c>
      <c r="E22" t="s">
        <v>45</v>
      </c>
      <c r="F22" t="s">
        <v>49</v>
      </c>
      <c r="G22" t="s">
        <v>51</v>
      </c>
      <c r="H22" t="s">
        <v>54</v>
      </c>
      <c r="I22">
        <v>1010</v>
      </c>
      <c r="J22" t="s">
        <v>59</v>
      </c>
      <c r="K22" t="s">
        <v>69</v>
      </c>
      <c r="L22" t="s">
        <v>71</v>
      </c>
      <c r="M22">
        <v>68571</v>
      </c>
      <c r="N22">
        <v>0</v>
      </c>
      <c r="O22" t="s">
        <v>73</v>
      </c>
      <c r="P22">
        <v>1</v>
      </c>
      <c r="Q22">
        <v>20220516</v>
      </c>
      <c r="R22" t="s">
        <v>94</v>
      </c>
      <c r="S22">
        <v>20220518</v>
      </c>
      <c r="T22" t="s">
        <v>156</v>
      </c>
      <c r="U22" t="s">
        <v>242</v>
      </c>
      <c r="V22">
        <v>1</v>
      </c>
      <c r="W22">
        <v>1</v>
      </c>
      <c r="X22">
        <v>259</v>
      </c>
      <c r="Y22">
        <v>244</v>
      </c>
      <c r="Z22">
        <v>259</v>
      </c>
    </row>
    <row r="23" spans="1:26" x14ac:dyDescent="0.25">
      <c r="A23">
        <v>118</v>
      </c>
      <c r="B23" t="s">
        <v>34</v>
      </c>
      <c r="C23" t="s">
        <v>43</v>
      </c>
      <c r="D23">
        <v>63</v>
      </c>
      <c r="E23" t="s">
        <v>44</v>
      </c>
      <c r="F23" t="s">
        <v>48</v>
      </c>
      <c r="G23" t="s">
        <v>51</v>
      </c>
      <c r="H23" t="s">
        <v>53</v>
      </c>
      <c r="I23">
        <v>1043</v>
      </c>
      <c r="J23" t="s">
        <v>60</v>
      </c>
      <c r="K23" t="s">
        <v>70</v>
      </c>
      <c r="L23" t="s">
        <v>72</v>
      </c>
      <c r="M23">
        <v>25072</v>
      </c>
      <c r="N23">
        <v>1</v>
      </c>
      <c r="O23" t="s">
        <v>73</v>
      </c>
      <c r="P23">
        <v>2</v>
      </c>
      <c r="Q23">
        <v>20221013</v>
      </c>
      <c r="R23" t="s">
        <v>95</v>
      </c>
      <c r="S23">
        <v>20221014</v>
      </c>
      <c r="T23" t="s">
        <v>157</v>
      </c>
      <c r="U23" t="s">
        <v>243</v>
      </c>
      <c r="V23">
        <v>1</v>
      </c>
      <c r="W23">
        <v>1</v>
      </c>
      <c r="X23">
        <v>63</v>
      </c>
      <c r="Y23">
        <v>54</v>
      </c>
      <c r="Z23">
        <v>63</v>
      </c>
    </row>
    <row r="24" spans="1:26" x14ac:dyDescent="0.25">
      <c r="A24">
        <v>141</v>
      </c>
      <c r="B24" t="s">
        <v>32</v>
      </c>
      <c r="C24" t="s">
        <v>41</v>
      </c>
      <c r="D24">
        <v>66</v>
      </c>
      <c r="E24" t="s">
        <v>44</v>
      </c>
      <c r="F24" t="s">
        <v>50</v>
      </c>
      <c r="G24" t="s">
        <v>51</v>
      </c>
      <c r="H24" t="s">
        <v>57</v>
      </c>
      <c r="I24">
        <v>1030</v>
      </c>
      <c r="J24" t="s">
        <v>62</v>
      </c>
      <c r="K24" t="s">
        <v>70</v>
      </c>
      <c r="L24" t="s">
        <v>72</v>
      </c>
      <c r="M24">
        <v>51346</v>
      </c>
      <c r="N24">
        <v>2</v>
      </c>
      <c r="O24" t="s">
        <v>73</v>
      </c>
      <c r="P24">
        <v>1</v>
      </c>
      <c r="Q24">
        <v>20220101</v>
      </c>
      <c r="R24" t="s">
        <v>96</v>
      </c>
      <c r="S24">
        <v>20220102</v>
      </c>
      <c r="T24" t="s">
        <v>158</v>
      </c>
      <c r="U24" t="s">
        <v>244</v>
      </c>
      <c r="V24">
        <v>1</v>
      </c>
      <c r="W24">
        <v>3</v>
      </c>
      <c r="X24">
        <v>66</v>
      </c>
      <c r="Y24">
        <v>55</v>
      </c>
      <c r="Z24">
        <v>198</v>
      </c>
    </row>
    <row r="25" spans="1:26" x14ac:dyDescent="0.25">
      <c r="A25">
        <v>141</v>
      </c>
      <c r="B25" t="s">
        <v>32</v>
      </c>
      <c r="C25" t="s">
        <v>41</v>
      </c>
      <c r="D25">
        <v>66</v>
      </c>
      <c r="E25" t="s">
        <v>44</v>
      </c>
      <c r="F25" t="s">
        <v>50</v>
      </c>
      <c r="G25" t="s">
        <v>51</v>
      </c>
      <c r="H25" t="s">
        <v>57</v>
      </c>
      <c r="I25">
        <v>1010</v>
      </c>
      <c r="J25" t="s">
        <v>59</v>
      </c>
      <c r="K25" t="s">
        <v>69</v>
      </c>
      <c r="L25" t="s">
        <v>71</v>
      </c>
      <c r="M25">
        <v>68571</v>
      </c>
      <c r="N25">
        <v>0</v>
      </c>
      <c r="O25" t="s">
        <v>73</v>
      </c>
      <c r="P25">
        <v>1</v>
      </c>
      <c r="Q25">
        <v>20220615</v>
      </c>
      <c r="R25" t="s">
        <v>93</v>
      </c>
      <c r="S25">
        <v>20220618</v>
      </c>
      <c r="T25" t="s">
        <v>159</v>
      </c>
      <c r="U25" t="s">
        <v>245</v>
      </c>
      <c r="V25">
        <v>1</v>
      </c>
      <c r="W25">
        <v>3</v>
      </c>
      <c r="X25">
        <v>66</v>
      </c>
      <c r="Y25">
        <v>51</v>
      </c>
      <c r="Z25">
        <v>198</v>
      </c>
    </row>
    <row r="26" spans="1:26" x14ac:dyDescent="0.25">
      <c r="A26">
        <v>141</v>
      </c>
      <c r="B26" t="s">
        <v>32</v>
      </c>
      <c r="C26" t="s">
        <v>41</v>
      </c>
      <c r="D26">
        <v>66</v>
      </c>
      <c r="E26" t="s">
        <v>44</v>
      </c>
      <c r="F26" t="s">
        <v>50</v>
      </c>
      <c r="G26" t="s">
        <v>51</v>
      </c>
      <c r="H26" t="s">
        <v>57</v>
      </c>
      <c r="I26">
        <v>1002</v>
      </c>
      <c r="J26" t="s">
        <v>61</v>
      </c>
      <c r="K26" t="s">
        <v>70</v>
      </c>
      <c r="L26" t="s">
        <v>72</v>
      </c>
      <c r="M26">
        <v>64715</v>
      </c>
      <c r="N26">
        <v>1</v>
      </c>
      <c r="O26" t="s">
        <v>74</v>
      </c>
      <c r="P26">
        <v>1</v>
      </c>
      <c r="Q26">
        <v>20240306</v>
      </c>
      <c r="R26" t="s">
        <v>90</v>
      </c>
      <c r="S26">
        <v>20240308</v>
      </c>
      <c r="T26" t="s">
        <v>160</v>
      </c>
      <c r="U26" t="s">
        <v>246</v>
      </c>
      <c r="V26">
        <v>1</v>
      </c>
      <c r="W26">
        <v>2</v>
      </c>
      <c r="X26">
        <v>66</v>
      </c>
      <c r="Y26">
        <v>54</v>
      </c>
      <c r="Z26">
        <v>132</v>
      </c>
    </row>
    <row r="27" spans="1:26" x14ac:dyDescent="0.25">
      <c r="A27">
        <v>141</v>
      </c>
      <c r="B27" t="s">
        <v>32</v>
      </c>
      <c r="C27" t="s">
        <v>41</v>
      </c>
      <c r="D27">
        <v>66</v>
      </c>
      <c r="E27" t="s">
        <v>44</v>
      </c>
      <c r="F27" t="s">
        <v>50</v>
      </c>
      <c r="G27" t="s">
        <v>51</v>
      </c>
      <c r="H27" t="s">
        <v>57</v>
      </c>
      <c r="I27">
        <v>1043</v>
      </c>
      <c r="J27" t="s">
        <v>60</v>
      </c>
      <c r="K27" t="s">
        <v>70</v>
      </c>
      <c r="L27" t="s">
        <v>72</v>
      </c>
      <c r="M27">
        <v>25072</v>
      </c>
      <c r="N27">
        <v>1</v>
      </c>
      <c r="O27" t="s">
        <v>73</v>
      </c>
      <c r="P27">
        <v>2</v>
      </c>
      <c r="Q27">
        <v>20220913</v>
      </c>
      <c r="R27" t="s">
        <v>97</v>
      </c>
      <c r="S27">
        <v>20220916</v>
      </c>
      <c r="T27" t="s">
        <v>161</v>
      </c>
      <c r="U27" t="s">
        <v>247</v>
      </c>
      <c r="V27">
        <v>1</v>
      </c>
      <c r="W27">
        <v>4</v>
      </c>
      <c r="X27">
        <v>66</v>
      </c>
      <c r="Y27">
        <v>56</v>
      </c>
      <c r="Z27">
        <v>264</v>
      </c>
    </row>
    <row r="28" spans="1:26" x14ac:dyDescent="0.25">
      <c r="A28">
        <v>121</v>
      </c>
      <c r="B28" t="s">
        <v>30</v>
      </c>
      <c r="C28" t="s">
        <v>39</v>
      </c>
      <c r="D28">
        <v>215</v>
      </c>
      <c r="E28" t="s">
        <v>44</v>
      </c>
      <c r="F28" t="s">
        <v>50</v>
      </c>
      <c r="G28" t="s">
        <v>52</v>
      </c>
      <c r="H28" t="s">
        <v>55</v>
      </c>
      <c r="I28">
        <v>1043</v>
      </c>
      <c r="J28" t="s">
        <v>60</v>
      </c>
      <c r="K28" t="s">
        <v>70</v>
      </c>
      <c r="L28" t="s">
        <v>72</v>
      </c>
      <c r="M28">
        <v>25072</v>
      </c>
      <c r="N28">
        <v>1</v>
      </c>
      <c r="O28" t="s">
        <v>73</v>
      </c>
      <c r="P28">
        <v>2</v>
      </c>
      <c r="Q28">
        <v>20230327</v>
      </c>
      <c r="R28" t="s">
        <v>98</v>
      </c>
      <c r="S28">
        <v>20230328</v>
      </c>
      <c r="T28" t="s">
        <v>162</v>
      </c>
      <c r="U28" t="s">
        <v>248</v>
      </c>
      <c r="V28">
        <v>1</v>
      </c>
      <c r="W28">
        <v>3</v>
      </c>
      <c r="X28">
        <v>215</v>
      </c>
      <c r="Y28">
        <v>207</v>
      </c>
      <c r="Z28">
        <v>645</v>
      </c>
    </row>
    <row r="29" spans="1:26" x14ac:dyDescent="0.25">
      <c r="A29">
        <v>119</v>
      </c>
      <c r="B29" t="s">
        <v>29</v>
      </c>
      <c r="C29" t="s">
        <v>38</v>
      </c>
      <c r="D29">
        <v>282</v>
      </c>
      <c r="E29" t="s">
        <v>47</v>
      </c>
      <c r="F29" t="s">
        <v>49</v>
      </c>
      <c r="G29" t="s">
        <v>52</v>
      </c>
      <c r="H29" t="s">
        <v>56</v>
      </c>
      <c r="I29">
        <v>1049</v>
      </c>
      <c r="J29" t="s">
        <v>67</v>
      </c>
      <c r="K29" t="s">
        <v>70</v>
      </c>
      <c r="L29" t="s">
        <v>71</v>
      </c>
      <c r="M29">
        <v>37462</v>
      </c>
      <c r="N29">
        <v>2</v>
      </c>
      <c r="O29" t="s">
        <v>73</v>
      </c>
      <c r="P29">
        <v>0</v>
      </c>
      <c r="Q29">
        <v>20220630</v>
      </c>
      <c r="R29" t="s">
        <v>99</v>
      </c>
      <c r="S29">
        <v>20220703</v>
      </c>
      <c r="T29" t="s">
        <v>163</v>
      </c>
      <c r="U29" t="s">
        <v>249</v>
      </c>
      <c r="V29">
        <v>1</v>
      </c>
      <c r="W29">
        <v>1</v>
      </c>
      <c r="X29">
        <v>282</v>
      </c>
      <c r="Y29">
        <v>269</v>
      </c>
      <c r="Z29">
        <v>282</v>
      </c>
    </row>
    <row r="30" spans="1:26" x14ac:dyDescent="0.25">
      <c r="A30">
        <v>121</v>
      </c>
      <c r="B30" t="s">
        <v>30</v>
      </c>
      <c r="C30" t="s">
        <v>39</v>
      </c>
      <c r="D30">
        <v>215</v>
      </c>
      <c r="E30" t="s">
        <v>44</v>
      </c>
      <c r="F30" t="s">
        <v>50</v>
      </c>
      <c r="G30" t="s">
        <v>52</v>
      </c>
      <c r="H30" t="s">
        <v>55</v>
      </c>
      <c r="I30">
        <v>1049</v>
      </c>
      <c r="J30" t="s">
        <v>67</v>
      </c>
      <c r="K30" t="s">
        <v>70</v>
      </c>
      <c r="L30" t="s">
        <v>71</v>
      </c>
      <c r="M30">
        <v>37462</v>
      </c>
      <c r="N30">
        <v>2</v>
      </c>
      <c r="O30" t="s">
        <v>73</v>
      </c>
      <c r="P30">
        <v>0</v>
      </c>
      <c r="Q30">
        <v>20251226</v>
      </c>
      <c r="R30" t="s">
        <v>100</v>
      </c>
      <c r="S30">
        <v>20251228</v>
      </c>
      <c r="T30" t="s">
        <v>164</v>
      </c>
      <c r="U30" t="s">
        <v>250</v>
      </c>
      <c r="V30">
        <v>1</v>
      </c>
      <c r="W30">
        <v>1</v>
      </c>
      <c r="X30">
        <v>215</v>
      </c>
      <c r="Y30">
        <v>201</v>
      </c>
      <c r="Z30">
        <v>215</v>
      </c>
    </row>
    <row r="31" spans="1:26" x14ac:dyDescent="0.25">
      <c r="A31">
        <v>141</v>
      </c>
      <c r="B31" t="s">
        <v>32</v>
      </c>
      <c r="C31" t="s">
        <v>41</v>
      </c>
      <c r="D31">
        <v>66</v>
      </c>
      <c r="E31" t="s">
        <v>44</v>
      </c>
      <c r="F31" t="s">
        <v>50</v>
      </c>
      <c r="G31" t="s">
        <v>51</v>
      </c>
      <c r="H31" t="s">
        <v>57</v>
      </c>
      <c r="I31">
        <v>1014</v>
      </c>
      <c r="J31" t="s">
        <v>63</v>
      </c>
      <c r="K31" t="s">
        <v>70</v>
      </c>
      <c r="L31" t="s">
        <v>72</v>
      </c>
      <c r="M31">
        <v>38460</v>
      </c>
      <c r="N31">
        <v>0</v>
      </c>
      <c r="O31" t="s">
        <v>73</v>
      </c>
      <c r="P31">
        <v>0</v>
      </c>
      <c r="Q31">
        <v>20250614</v>
      </c>
      <c r="R31" t="s">
        <v>101</v>
      </c>
      <c r="S31">
        <v>20250616</v>
      </c>
      <c r="T31" t="s">
        <v>165</v>
      </c>
      <c r="U31" t="s">
        <v>251</v>
      </c>
      <c r="V31">
        <v>1</v>
      </c>
      <c r="W31">
        <v>3</v>
      </c>
      <c r="X31">
        <v>66</v>
      </c>
      <c r="Y31">
        <v>60</v>
      </c>
      <c r="Z31">
        <v>198</v>
      </c>
    </row>
    <row r="32" spans="1:26" x14ac:dyDescent="0.25">
      <c r="A32">
        <v>144</v>
      </c>
      <c r="B32" t="s">
        <v>27</v>
      </c>
      <c r="C32" t="s">
        <v>36</v>
      </c>
      <c r="D32">
        <v>259</v>
      </c>
      <c r="E32" t="s">
        <v>45</v>
      </c>
      <c r="F32" t="s">
        <v>49</v>
      </c>
      <c r="G32" t="s">
        <v>51</v>
      </c>
      <c r="H32" t="s">
        <v>54</v>
      </c>
      <c r="I32">
        <v>1043</v>
      </c>
      <c r="J32" t="s">
        <v>60</v>
      </c>
      <c r="K32" t="s">
        <v>70</v>
      </c>
      <c r="L32" t="s">
        <v>72</v>
      </c>
      <c r="M32">
        <v>25072</v>
      </c>
      <c r="N32">
        <v>1</v>
      </c>
      <c r="O32" t="s">
        <v>73</v>
      </c>
      <c r="P32">
        <v>2</v>
      </c>
      <c r="Q32">
        <v>20240106</v>
      </c>
      <c r="R32" t="s">
        <v>102</v>
      </c>
      <c r="S32">
        <v>20240107</v>
      </c>
      <c r="T32" t="s">
        <v>166</v>
      </c>
      <c r="U32" t="s">
        <v>252</v>
      </c>
      <c r="V32">
        <v>1</v>
      </c>
      <c r="W32">
        <v>3</v>
      </c>
      <c r="X32">
        <v>259</v>
      </c>
      <c r="Y32">
        <v>250</v>
      </c>
      <c r="Z32">
        <v>777</v>
      </c>
    </row>
    <row r="33" spans="1:26" x14ac:dyDescent="0.25">
      <c r="A33">
        <v>112</v>
      </c>
      <c r="B33" t="s">
        <v>28</v>
      </c>
      <c r="C33" t="s">
        <v>37</v>
      </c>
      <c r="D33">
        <v>465</v>
      </c>
      <c r="E33" t="s">
        <v>46</v>
      </c>
      <c r="F33" t="s">
        <v>50</v>
      </c>
      <c r="G33" t="s">
        <v>52</v>
      </c>
      <c r="H33" t="s">
        <v>55</v>
      </c>
      <c r="I33">
        <v>1007</v>
      </c>
      <c r="J33" t="s">
        <v>66</v>
      </c>
      <c r="K33" t="s">
        <v>69</v>
      </c>
      <c r="L33" t="s">
        <v>72</v>
      </c>
      <c r="M33">
        <v>72282</v>
      </c>
      <c r="N33">
        <v>4</v>
      </c>
      <c r="O33" t="s">
        <v>73</v>
      </c>
      <c r="P33">
        <v>3</v>
      </c>
      <c r="Q33">
        <v>20230526</v>
      </c>
      <c r="R33" t="s">
        <v>103</v>
      </c>
      <c r="S33">
        <v>20230527</v>
      </c>
      <c r="T33" t="s">
        <v>167</v>
      </c>
      <c r="U33" t="s">
        <v>253</v>
      </c>
      <c r="V33">
        <v>1</v>
      </c>
      <c r="W33">
        <v>3</v>
      </c>
      <c r="X33">
        <v>465</v>
      </c>
      <c r="Y33">
        <v>454</v>
      </c>
      <c r="Z33">
        <v>1395</v>
      </c>
    </row>
    <row r="34" spans="1:26" x14ac:dyDescent="0.25">
      <c r="A34">
        <v>144</v>
      </c>
      <c r="B34" t="s">
        <v>27</v>
      </c>
      <c r="C34" t="s">
        <v>36</v>
      </c>
      <c r="D34">
        <v>259</v>
      </c>
      <c r="E34" t="s">
        <v>45</v>
      </c>
      <c r="F34" t="s">
        <v>49</v>
      </c>
      <c r="G34" t="s">
        <v>51</v>
      </c>
      <c r="H34" t="s">
        <v>54</v>
      </c>
      <c r="I34">
        <v>1022</v>
      </c>
      <c r="J34" t="s">
        <v>65</v>
      </c>
      <c r="K34" t="s">
        <v>70</v>
      </c>
      <c r="L34" t="s">
        <v>71</v>
      </c>
      <c r="M34">
        <v>52944</v>
      </c>
      <c r="N34">
        <v>3</v>
      </c>
      <c r="O34" t="s">
        <v>73</v>
      </c>
      <c r="P34">
        <v>1</v>
      </c>
      <c r="Q34">
        <v>20220531</v>
      </c>
      <c r="R34" t="s">
        <v>104</v>
      </c>
      <c r="S34">
        <v>20220603</v>
      </c>
      <c r="T34" t="s">
        <v>168</v>
      </c>
      <c r="U34" t="s">
        <v>254</v>
      </c>
      <c r="V34">
        <v>1</v>
      </c>
      <c r="W34">
        <v>1</v>
      </c>
      <c r="X34">
        <v>259</v>
      </c>
      <c r="Y34">
        <v>245</v>
      </c>
      <c r="Z34">
        <v>259</v>
      </c>
    </row>
    <row r="35" spans="1:26" x14ac:dyDescent="0.25">
      <c r="A35">
        <v>141</v>
      </c>
      <c r="B35" t="s">
        <v>32</v>
      </c>
      <c r="C35" t="s">
        <v>41</v>
      </c>
      <c r="D35">
        <v>66</v>
      </c>
      <c r="E35" t="s">
        <v>44</v>
      </c>
      <c r="F35" t="s">
        <v>50</v>
      </c>
      <c r="G35" t="s">
        <v>51</v>
      </c>
      <c r="H35" t="s">
        <v>57</v>
      </c>
      <c r="I35">
        <v>1002</v>
      </c>
      <c r="J35" t="s">
        <v>61</v>
      </c>
      <c r="K35" t="s">
        <v>70</v>
      </c>
      <c r="L35" t="s">
        <v>72</v>
      </c>
      <c r="M35">
        <v>64715</v>
      </c>
      <c r="N35">
        <v>1</v>
      </c>
      <c r="O35" t="s">
        <v>74</v>
      </c>
      <c r="P35">
        <v>1</v>
      </c>
      <c r="Q35">
        <v>20220215</v>
      </c>
      <c r="R35" t="s">
        <v>105</v>
      </c>
      <c r="S35">
        <v>20220218</v>
      </c>
      <c r="T35" t="s">
        <v>169</v>
      </c>
      <c r="U35" t="s">
        <v>255</v>
      </c>
      <c r="V35">
        <v>1</v>
      </c>
      <c r="W35">
        <v>2</v>
      </c>
      <c r="X35">
        <v>66</v>
      </c>
      <c r="Y35">
        <v>54</v>
      </c>
      <c r="Z35">
        <v>132</v>
      </c>
    </row>
    <row r="36" spans="1:26" x14ac:dyDescent="0.25">
      <c r="A36">
        <v>112</v>
      </c>
      <c r="B36" t="s">
        <v>28</v>
      </c>
      <c r="C36" t="s">
        <v>37</v>
      </c>
      <c r="D36">
        <v>465</v>
      </c>
      <c r="E36" t="s">
        <v>46</v>
      </c>
      <c r="F36" t="s">
        <v>50</v>
      </c>
      <c r="G36" t="s">
        <v>52</v>
      </c>
      <c r="H36" t="s">
        <v>55</v>
      </c>
      <c r="I36">
        <v>1010</v>
      </c>
      <c r="J36" t="s">
        <v>59</v>
      </c>
      <c r="K36" t="s">
        <v>69</v>
      </c>
      <c r="L36" t="s">
        <v>71</v>
      </c>
      <c r="M36">
        <v>68571</v>
      </c>
      <c r="N36">
        <v>0</v>
      </c>
      <c r="O36" t="s">
        <v>73</v>
      </c>
      <c r="P36">
        <v>1</v>
      </c>
      <c r="Q36">
        <v>20240220</v>
      </c>
      <c r="R36" t="s">
        <v>106</v>
      </c>
      <c r="S36">
        <v>20240221</v>
      </c>
      <c r="T36" t="s">
        <v>170</v>
      </c>
      <c r="U36" t="s">
        <v>256</v>
      </c>
      <c r="V36">
        <v>1</v>
      </c>
      <c r="W36">
        <v>3</v>
      </c>
      <c r="X36">
        <v>465</v>
      </c>
      <c r="Y36">
        <v>459</v>
      </c>
      <c r="Z36">
        <v>1395</v>
      </c>
    </row>
    <row r="37" spans="1:26" x14ac:dyDescent="0.25">
      <c r="A37">
        <v>141</v>
      </c>
      <c r="B37" t="s">
        <v>32</v>
      </c>
      <c r="C37" t="s">
        <v>41</v>
      </c>
      <c r="D37">
        <v>66</v>
      </c>
      <c r="E37" t="s">
        <v>44</v>
      </c>
      <c r="F37" t="s">
        <v>50</v>
      </c>
      <c r="G37" t="s">
        <v>51</v>
      </c>
      <c r="H37" t="s">
        <v>57</v>
      </c>
      <c r="I37">
        <v>1014</v>
      </c>
      <c r="J37" t="s">
        <v>63</v>
      </c>
      <c r="K37" t="s">
        <v>70</v>
      </c>
      <c r="L37" t="s">
        <v>72</v>
      </c>
      <c r="M37">
        <v>38460</v>
      </c>
      <c r="N37">
        <v>0</v>
      </c>
      <c r="O37" t="s">
        <v>73</v>
      </c>
      <c r="P37">
        <v>0</v>
      </c>
      <c r="Q37">
        <v>20250614</v>
      </c>
      <c r="R37" t="s">
        <v>101</v>
      </c>
      <c r="S37">
        <v>20250616</v>
      </c>
      <c r="T37" t="s">
        <v>165</v>
      </c>
      <c r="U37" t="s">
        <v>257</v>
      </c>
      <c r="V37">
        <v>1</v>
      </c>
      <c r="W37">
        <v>3</v>
      </c>
      <c r="X37">
        <v>66</v>
      </c>
      <c r="Y37">
        <v>59</v>
      </c>
      <c r="Z37">
        <v>198</v>
      </c>
    </row>
    <row r="38" spans="1:26" x14ac:dyDescent="0.25">
      <c r="A38">
        <v>121</v>
      </c>
      <c r="B38" t="s">
        <v>30</v>
      </c>
      <c r="C38" t="s">
        <v>39</v>
      </c>
      <c r="D38">
        <v>215</v>
      </c>
      <c r="E38" t="s">
        <v>44</v>
      </c>
      <c r="F38" t="s">
        <v>50</v>
      </c>
      <c r="G38" t="s">
        <v>52</v>
      </c>
      <c r="H38" t="s">
        <v>55</v>
      </c>
      <c r="I38">
        <v>1007</v>
      </c>
      <c r="J38" t="s">
        <v>66</v>
      </c>
      <c r="K38" t="s">
        <v>69</v>
      </c>
      <c r="L38" t="s">
        <v>72</v>
      </c>
      <c r="M38">
        <v>72282</v>
      </c>
      <c r="N38">
        <v>4</v>
      </c>
      <c r="O38" t="s">
        <v>73</v>
      </c>
      <c r="P38">
        <v>3</v>
      </c>
      <c r="Q38">
        <v>20241017</v>
      </c>
      <c r="R38" t="s">
        <v>107</v>
      </c>
      <c r="S38">
        <v>20241019</v>
      </c>
      <c r="T38" t="s">
        <v>171</v>
      </c>
      <c r="U38" t="s">
        <v>258</v>
      </c>
      <c r="V38">
        <v>1</v>
      </c>
      <c r="W38">
        <v>1</v>
      </c>
      <c r="X38">
        <v>215</v>
      </c>
      <c r="Y38">
        <v>207</v>
      </c>
      <c r="Z38">
        <v>215</v>
      </c>
    </row>
    <row r="39" spans="1:26" x14ac:dyDescent="0.25">
      <c r="A39">
        <v>118</v>
      </c>
      <c r="B39" t="s">
        <v>34</v>
      </c>
      <c r="C39" t="s">
        <v>43</v>
      </c>
      <c r="D39">
        <v>63</v>
      </c>
      <c r="E39" t="s">
        <v>44</v>
      </c>
      <c r="F39" t="s">
        <v>48</v>
      </c>
      <c r="G39" t="s">
        <v>51</v>
      </c>
      <c r="H39" t="s">
        <v>53</v>
      </c>
      <c r="I39">
        <v>1018</v>
      </c>
      <c r="J39" t="s">
        <v>64</v>
      </c>
      <c r="K39" t="s">
        <v>70</v>
      </c>
      <c r="L39" t="s">
        <v>71</v>
      </c>
      <c r="M39">
        <v>49779</v>
      </c>
      <c r="N39">
        <v>2</v>
      </c>
      <c r="O39" t="s">
        <v>74</v>
      </c>
      <c r="P39">
        <v>0</v>
      </c>
      <c r="Q39">
        <v>20230526</v>
      </c>
      <c r="R39" t="s">
        <v>103</v>
      </c>
      <c r="S39">
        <v>20230529</v>
      </c>
      <c r="T39" t="s">
        <v>172</v>
      </c>
      <c r="U39" t="s">
        <v>259</v>
      </c>
      <c r="V39">
        <v>1</v>
      </c>
      <c r="W39">
        <v>5</v>
      </c>
      <c r="X39">
        <v>63</v>
      </c>
      <c r="Y39">
        <v>49</v>
      </c>
      <c r="Z39">
        <v>315</v>
      </c>
    </row>
    <row r="40" spans="1:26" x14ac:dyDescent="0.25">
      <c r="A40">
        <v>144</v>
      </c>
      <c r="B40" t="s">
        <v>27</v>
      </c>
      <c r="C40" t="s">
        <v>36</v>
      </c>
      <c r="D40">
        <v>259</v>
      </c>
      <c r="E40" t="s">
        <v>45</v>
      </c>
      <c r="F40" t="s">
        <v>49</v>
      </c>
      <c r="G40" t="s">
        <v>51</v>
      </c>
      <c r="H40" t="s">
        <v>54</v>
      </c>
      <c r="I40">
        <v>1018</v>
      </c>
      <c r="J40" t="s">
        <v>64</v>
      </c>
      <c r="K40" t="s">
        <v>70</v>
      </c>
      <c r="L40" t="s">
        <v>71</v>
      </c>
      <c r="M40">
        <v>49779</v>
      </c>
      <c r="N40">
        <v>2</v>
      </c>
      <c r="O40" t="s">
        <v>74</v>
      </c>
      <c r="P40">
        <v>0</v>
      </c>
      <c r="Q40">
        <v>20250301</v>
      </c>
      <c r="R40" t="s">
        <v>108</v>
      </c>
      <c r="S40">
        <v>20250302</v>
      </c>
      <c r="T40" t="s">
        <v>173</v>
      </c>
      <c r="U40" t="s">
        <v>260</v>
      </c>
      <c r="V40">
        <v>1</v>
      </c>
      <c r="W40">
        <v>4</v>
      </c>
      <c r="X40">
        <v>259</v>
      </c>
      <c r="Y40">
        <v>245</v>
      </c>
      <c r="Z40">
        <v>1036</v>
      </c>
    </row>
    <row r="41" spans="1:26" x14ac:dyDescent="0.25">
      <c r="A41">
        <v>114</v>
      </c>
      <c r="B41" t="s">
        <v>31</v>
      </c>
      <c r="C41" t="s">
        <v>40</v>
      </c>
      <c r="D41">
        <v>253</v>
      </c>
      <c r="E41" t="s">
        <v>47</v>
      </c>
      <c r="F41" t="s">
        <v>48</v>
      </c>
      <c r="G41" t="s">
        <v>52</v>
      </c>
      <c r="H41" t="s">
        <v>55</v>
      </c>
      <c r="I41">
        <v>1014</v>
      </c>
      <c r="J41" t="s">
        <v>63</v>
      </c>
      <c r="K41" t="s">
        <v>70</v>
      </c>
      <c r="L41" t="s">
        <v>72</v>
      </c>
      <c r="M41">
        <v>38460</v>
      </c>
      <c r="N41">
        <v>0</v>
      </c>
      <c r="O41" t="s">
        <v>73</v>
      </c>
      <c r="P41">
        <v>0</v>
      </c>
      <c r="Q41">
        <v>20220302</v>
      </c>
      <c r="R41" t="s">
        <v>109</v>
      </c>
      <c r="S41">
        <v>20220304</v>
      </c>
      <c r="T41" t="s">
        <v>174</v>
      </c>
      <c r="U41" t="s">
        <v>261</v>
      </c>
      <c r="V41">
        <v>1</v>
      </c>
      <c r="W41">
        <v>1</v>
      </c>
      <c r="X41">
        <v>253</v>
      </c>
      <c r="Y41">
        <v>238</v>
      </c>
      <c r="Z41">
        <v>253</v>
      </c>
    </row>
    <row r="42" spans="1:26" x14ac:dyDescent="0.25">
      <c r="A42">
        <v>112</v>
      </c>
      <c r="B42" t="s">
        <v>28</v>
      </c>
      <c r="C42" t="s">
        <v>37</v>
      </c>
      <c r="D42">
        <v>465</v>
      </c>
      <c r="E42" t="s">
        <v>46</v>
      </c>
      <c r="F42" t="s">
        <v>50</v>
      </c>
      <c r="G42" t="s">
        <v>52</v>
      </c>
      <c r="H42" t="s">
        <v>55</v>
      </c>
      <c r="I42">
        <v>1030</v>
      </c>
      <c r="J42" t="s">
        <v>62</v>
      </c>
      <c r="K42" t="s">
        <v>70</v>
      </c>
      <c r="L42" t="s">
        <v>72</v>
      </c>
      <c r="M42">
        <v>51346</v>
      </c>
      <c r="N42">
        <v>2</v>
      </c>
      <c r="O42" t="s">
        <v>73</v>
      </c>
      <c r="P42">
        <v>1</v>
      </c>
      <c r="Q42">
        <v>20220913</v>
      </c>
      <c r="R42" t="s">
        <v>97</v>
      </c>
      <c r="S42">
        <v>20220915</v>
      </c>
      <c r="T42" t="s">
        <v>175</v>
      </c>
      <c r="U42" t="s">
        <v>262</v>
      </c>
      <c r="V42">
        <v>1</v>
      </c>
      <c r="W42">
        <v>1</v>
      </c>
      <c r="X42">
        <v>465</v>
      </c>
      <c r="Y42">
        <v>457</v>
      </c>
      <c r="Z42">
        <v>465</v>
      </c>
    </row>
    <row r="43" spans="1:26" x14ac:dyDescent="0.25">
      <c r="A43">
        <v>128</v>
      </c>
      <c r="B43" t="s">
        <v>33</v>
      </c>
      <c r="C43" t="s">
        <v>42</v>
      </c>
      <c r="D43">
        <v>401</v>
      </c>
      <c r="E43" t="s">
        <v>47</v>
      </c>
      <c r="F43" t="s">
        <v>50</v>
      </c>
      <c r="G43" t="s">
        <v>52</v>
      </c>
      <c r="H43" t="s">
        <v>58</v>
      </c>
      <c r="I43">
        <v>1022</v>
      </c>
      <c r="J43" t="s">
        <v>65</v>
      </c>
      <c r="K43" t="s">
        <v>70</v>
      </c>
      <c r="L43" t="s">
        <v>71</v>
      </c>
      <c r="M43">
        <v>52944</v>
      </c>
      <c r="N43">
        <v>3</v>
      </c>
      <c r="O43" t="s">
        <v>73</v>
      </c>
      <c r="P43">
        <v>1</v>
      </c>
      <c r="Q43">
        <v>20241017</v>
      </c>
      <c r="R43" t="s">
        <v>107</v>
      </c>
      <c r="S43">
        <v>20241018</v>
      </c>
      <c r="T43" t="s">
        <v>176</v>
      </c>
      <c r="U43" t="s">
        <v>263</v>
      </c>
      <c r="V43">
        <v>1</v>
      </c>
      <c r="W43">
        <v>5</v>
      </c>
      <c r="X43">
        <v>401</v>
      </c>
      <c r="Y43">
        <v>386</v>
      </c>
      <c r="Z43">
        <v>2005</v>
      </c>
    </row>
    <row r="44" spans="1:26" x14ac:dyDescent="0.25">
      <c r="A44">
        <v>114</v>
      </c>
      <c r="B44" t="s">
        <v>31</v>
      </c>
      <c r="C44" t="s">
        <v>40</v>
      </c>
      <c r="D44">
        <v>253</v>
      </c>
      <c r="E44" t="s">
        <v>47</v>
      </c>
      <c r="F44" t="s">
        <v>48</v>
      </c>
      <c r="G44" t="s">
        <v>52</v>
      </c>
      <c r="H44" t="s">
        <v>55</v>
      </c>
      <c r="I44">
        <v>1049</v>
      </c>
      <c r="J44" t="s">
        <v>67</v>
      </c>
      <c r="K44" t="s">
        <v>70</v>
      </c>
      <c r="L44" t="s">
        <v>71</v>
      </c>
      <c r="M44">
        <v>37462</v>
      </c>
      <c r="N44">
        <v>2</v>
      </c>
      <c r="O44" t="s">
        <v>73</v>
      </c>
      <c r="P44">
        <v>0</v>
      </c>
      <c r="Q44">
        <v>20240902</v>
      </c>
      <c r="R44" t="s">
        <v>110</v>
      </c>
      <c r="S44">
        <v>20240905</v>
      </c>
      <c r="T44" t="s">
        <v>177</v>
      </c>
      <c r="U44" t="s">
        <v>264</v>
      </c>
      <c r="V44">
        <v>1</v>
      </c>
      <c r="W44">
        <v>1</v>
      </c>
      <c r="X44">
        <v>253</v>
      </c>
      <c r="Y44">
        <v>246</v>
      </c>
      <c r="Z44">
        <v>253</v>
      </c>
    </row>
    <row r="45" spans="1:26" x14ac:dyDescent="0.25">
      <c r="A45">
        <v>119</v>
      </c>
      <c r="B45" t="s">
        <v>29</v>
      </c>
      <c r="C45" t="s">
        <v>38</v>
      </c>
      <c r="D45">
        <v>282</v>
      </c>
      <c r="E45" t="s">
        <v>47</v>
      </c>
      <c r="F45" t="s">
        <v>49</v>
      </c>
      <c r="G45" t="s">
        <v>52</v>
      </c>
      <c r="H45" t="s">
        <v>56</v>
      </c>
      <c r="I45">
        <v>1022</v>
      </c>
      <c r="J45" t="s">
        <v>65</v>
      </c>
      <c r="K45" t="s">
        <v>70</v>
      </c>
      <c r="L45" t="s">
        <v>71</v>
      </c>
      <c r="M45">
        <v>52944</v>
      </c>
      <c r="N45">
        <v>3</v>
      </c>
      <c r="O45" t="s">
        <v>73</v>
      </c>
      <c r="P45">
        <v>1</v>
      </c>
      <c r="Q45">
        <v>20221227</v>
      </c>
      <c r="R45" t="s">
        <v>111</v>
      </c>
      <c r="S45">
        <v>20221228</v>
      </c>
      <c r="T45" t="s">
        <v>178</v>
      </c>
      <c r="U45" t="s">
        <v>265</v>
      </c>
      <c r="V45">
        <v>1</v>
      </c>
      <c r="W45">
        <v>5</v>
      </c>
      <c r="X45">
        <v>282</v>
      </c>
      <c r="Y45">
        <v>273</v>
      </c>
      <c r="Z45">
        <v>1410</v>
      </c>
    </row>
    <row r="46" spans="1:26" x14ac:dyDescent="0.25">
      <c r="A46">
        <v>118</v>
      </c>
      <c r="B46" t="s">
        <v>34</v>
      </c>
      <c r="C46" t="s">
        <v>43</v>
      </c>
      <c r="D46">
        <v>63</v>
      </c>
      <c r="E46" t="s">
        <v>44</v>
      </c>
      <c r="F46" t="s">
        <v>48</v>
      </c>
      <c r="G46" t="s">
        <v>51</v>
      </c>
      <c r="H46" t="s">
        <v>53</v>
      </c>
      <c r="I46">
        <v>1014</v>
      </c>
      <c r="J46" t="s">
        <v>63</v>
      </c>
      <c r="K46" t="s">
        <v>70</v>
      </c>
      <c r="L46" t="s">
        <v>72</v>
      </c>
      <c r="M46">
        <v>38460</v>
      </c>
      <c r="N46">
        <v>0</v>
      </c>
      <c r="O46" t="s">
        <v>73</v>
      </c>
      <c r="P46">
        <v>0</v>
      </c>
      <c r="Q46">
        <v>20221227</v>
      </c>
      <c r="R46" t="s">
        <v>111</v>
      </c>
      <c r="S46">
        <v>20221229</v>
      </c>
      <c r="T46" t="s">
        <v>179</v>
      </c>
      <c r="U46" t="s">
        <v>266</v>
      </c>
      <c r="V46">
        <v>1</v>
      </c>
      <c r="W46">
        <v>4</v>
      </c>
      <c r="X46">
        <v>63</v>
      </c>
      <c r="Y46">
        <v>58</v>
      </c>
      <c r="Z46">
        <v>252</v>
      </c>
    </row>
    <row r="47" spans="1:26" x14ac:dyDescent="0.25">
      <c r="A47">
        <v>119</v>
      </c>
      <c r="B47" t="s">
        <v>29</v>
      </c>
      <c r="C47" t="s">
        <v>38</v>
      </c>
      <c r="D47">
        <v>282</v>
      </c>
      <c r="E47" t="s">
        <v>47</v>
      </c>
      <c r="F47" t="s">
        <v>49</v>
      </c>
      <c r="G47" t="s">
        <v>52</v>
      </c>
      <c r="H47" t="s">
        <v>56</v>
      </c>
      <c r="I47">
        <v>1018</v>
      </c>
      <c r="J47" t="s">
        <v>64</v>
      </c>
      <c r="K47" t="s">
        <v>70</v>
      </c>
      <c r="L47" t="s">
        <v>71</v>
      </c>
      <c r="M47">
        <v>49779</v>
      </c>
      <c r="N47">
        <v>2</v>
      </c>
      <c r="O47" t="s">
        <v>74</v>
      </c>
      <c r="P47">
        <v>0</v>
      </c>
      <c r="Q47">
        <v>20250912</v>
      </c>
      <c r="R47" t="s">
        <v>112</v>
      </c>
      <c r="S47">
        <v>20250915</v>
      </c>
      <c r="T47" t="s">
        <v>180</v>
      </c>
      <c r="U47" t="s">
        <v>267</v>
      </c>
      <c r="V47">
        <v>1</v>
      </c>
      <c r="W47">
        <v>4</v>
      </c>
      <c r="X47">
        <v>282</v>
      </c>
      <c r="Y47">
        <v>267</v>
      </c>
      <c r="Z47">
        <v>1128</v>
      </c>
    </row>
    <row r="48" spans="1:26" x14ac:dyDescent="0.25">
      <c r="A48">
        <v>121</v>
      </c>
      <c r="B48" t="s">
        <v>30</v>
      </c>
      <c r="C48" t="s">
        <v>39</v>
      </c>
      <c r="D48">
        <v>215</v>
      </c>
      <c r="E48" t="s">
        <v>44</v>
      </c>
      <c r="F48" t="s">
        <v>50</v>
      </c>
      <c r="G48" t="s">
        <v>52</v>
      </c>
      <c r="H48" t="s">
        <v>55</v>
      </c>
      <c r="I48">
        <v>1043</v>
      </c>
      <c r="J48" t="s">
        <v>60</v>
      </c>
      <c r="K48" t="s">
        <v>70</v>
      </c>
      <c r="L48" t="s">
        <v>72</v>
      </c>
      <c r="M48">
        <v>25072</v>
      </c>
      <c r="N48">
        <v>1</v>
      </c>
      <c r="O48" t="s">
        <v>73</v>
      </c>
      <c r="P48">
        <v>2</v>
      </c>
      <c r="Q48">
        <v>20220730</v>
      </c>
      <c r="R48" t="s">
        <v>113</v>
      </c>
      <c r="S48">
        <v>20220731</v>
      </c>
      <c r="T48" t="s">
        <v>181</v>
      </c>
      <c r="U48" t="s">
        <v>268</v>
      </c>
      <c r="V48">
        <v>1</v>
      </c>
      <c r="W48">
        <v>5</v>
      </c>
      <c r="X48">
        <v>215</v>
      </c>
      <c r="Y48">
        <v>203</v>
      </c>
      <c r="Z48">
        <v>1075</v>
      </c>
    </row>
    <row r="49" spans="1:26" x14ac:dyDescent="0.25">
      <c r="A49">
        <v>128</v>
      </c>
      <c r="B49" t="s">
        <v>33</v>
      </c>
      <c r="C49" t="s">
        <v>42</v>
      </c>
      <c r="D49">
        <v>401</v>
      </c>
      <c r="E49" t="s">
        <v>47</v>
      </c>
      <c r="F49" t="s">
        <v>50</v>
      </c>
      <c r="G49" t="s">
        <v>52</v>
      </c>
      <c r="H49" t="s">
        <v>58</v>
      </c>
      <c r="I49">
        <v>1016</v>
      </c>
      <c r="J49" t="s">
        <v>68</v>
      </c>
      <c r="K49" t="s">
        <v>70</v>
      </c>
      <c r="L49" t="s">
        <v>72</v>
      </c>
      <c r="M49">
        <v>50603</v>
      </c>
      <c r="N49">
        <v>1</v>
      </c>
      <c r="O49" t="s">
        <v>74</v>
      </c>
      <c r="P49">
        <v>0</v>
      </c>
      <c r="Q49">
        <v>20220401</v>
      </c>
      <c r="R49" t="s">
        <v>114</v>
      </c>
      <c r="S49">
        <v>20220404</v>
      </c>
      <c r="T49" t="s">
        <v>182</v>
      </c>
      <c r="U49" t="s">
        <v>269</v>
      </c>
      <c r="V49">
        <v>1</v>
      </c>
      <c r="W49">
        <v>3</v>
      </c>
      <c r="X49">
        <v>401</v>
      </c>
      <c r="Y49">
        <v>387</v>
      </c>
      <c r="Z49">
        <v>1203</v>
      </c>
    </row>
    <row r="50" spans="1:26" x14ac:dyDescent="0.25">
      <c r="A50">
        <v>121</v>
      </c>
      <c r="B50" t="s">
        <v>30</v>
      </c>
      <c r="C50" t="s">
        <v>39</v>
      </c>
      <c r="D50">
        <v>215</v>
      </c>
      <c r="E50" t="s">
        <v>44</v>
      </c>
      <c r="F50" t="s">
        <v>50</v>
      </c>
      <c r="G50" t="s">
        <v>52</v>
      </c>
      <c r="H50" t="s">
        <v>55</v>
      </c>
      <c r="I50">
        <v>1043</v>
      </c>
      <c r="J50" t="s">
        <v>60</v>
      </c>
      <c r="K50" t="s">
        <v>70</v>
      </c>
      <c r="L50" t="s">
        <v>72</v>
      </c>
      <c r="M50">
        <v>25072</v>
      </c>
      <c r="N50">
        <v>1</v>
      </c>
      <c r="O50" t="s">
        <v>73</v>
      </c>
      <c r="P50">
        <v>2</v>
      </c>
      <c r="Q50">
        <v>20220829</v>
      </c>
      <c r="R50" t="s">
        <v>115</v>
      </c>
      <c r="S50">
        <v>20220831</v>
      </c>
      <c r="T50" t="s">
        <v>183</v>
      </c>
      <c r="U50" t="s">
        <v>270</v>
      </c>
      <c r="V50">
        <v>1</v>
      </c>
      <c r="W50">
        <v>1</v>
      </c>
      <c r="X50">
        <v>215</v>
      </c>
      <c r="Y50">
        <v>200</v>
      </c>
      <c r="Z50">
        <v>215</v>
      </c>
    </row>
    <row r="51" spans="1:26" x14ac:dyDescent="0.25">
      <c r="A51">
        <v>118</v>
      </c>
      <c r="B51" t="s">
        <v>34</v>
      </c>
      <c r="C51" t="s">
        <v>43</v>
      </c>
      <c r="D51">
        <v>63</v>
      </c>
      <c r="E51" t="s">
        <v>44</v>
      </c>
      <c r="F51" t="s">
        <v>48</v>
      </c>
      <c r="G51" t="s">
        <v>51</v>
      </c>
      <c r="H51" t="s">
        <v>53</v>
      </c>
      <c r="I51">
        <v>1007</v>
      </c>
      <c r="J51" t="s">
        <v>66</v>
      </c>
      <c r="K51" t="s">
        <v>69</v>
      </c>
      <c r="L51" t="s">
        <v>72</v>
      </c>
      <c r="M51">
        <v>72282</v>
      </c>
      <c r="N51">
        <v>4</v>
      </c>
      <c r="O51" t="s">
        <v>73</v>
      </c>
      <c r="P51">
        <v>3</v>
      </c>
      <c r="Q51">
        <v>20250316</v>
      </c>
      <c r="R51" t="s">
        <v>116</v>
      </c>
      <c r="S51">
        <v>20250317</v>
      </c>
      <c r="T51" t="s">
        <v>184</v>
      </c>
      <c r="U51" t="s">
        <v>271</v>
      </c>
      <c r="V51">
        <v>1</v>
      </c>
      <c r="W51">
        <v>4</v>
      </c>
      <c r="X51">
        <v>63</v>
      </c>
      <c r="Y51">
        <v>51</v>
      </c>
      <c r="Z51">
        <v>252</v>
      </c>
    </row>
    <row r="52" spans="1:26" x14ac:dyDescent="0.25">
      <c r="A52">
        <v>141</v>
      </c>
      <c r="B52" t="s">
        <v>32</v>
      </c>
      <c r="C52" t="s">
        <v>41</v>
      </c>
      <c r="D52">
        <v>66</v>
      </c>
      <c r="E52" t="s">
        <v>44</v>
      </c>
      <c r="F52" t="s">
        <v>50</v>
      </c>
      <c r="G52" t="s">
        <v>51</v>
      </c>
      <c r="H52" t="s">
        <v>57</v>
      </c>
      <c r="I52">
        <v>1007</v>
      </c>
      <c r="J52" t="s">
        <v>66</v>
      </c>
      <c r="K52" t="s">
        <v>69</v>
      </c>
      <c r="L52" t="s">
        <v>72</v>
      </c>
      <c r="M52">
        <v>72282</v>
      </c>
      <c r="N52">
        <v>4</v>
      </c>
      <c r="O52" t="s">
        <v>73</v>
      </c>
      <c r="P52">
        <v>3</v>
      </c>
      <c r="Q52">
        <v>20221212</v>
      </c>
      <c r="R52" t="s">
        <v>117</v>
      </c>
      <c r="S52">
        <v>20221214</v>
      </c>
      <c r="T52" t="s">
        <v>185</v>
      </c>
      <c r="U52" t="s">
        <v>272</v>
      </c>
      <c r="V52">
        <v>1</v>
      </c>
      <c r="W52">
        <v>1</v>
      </c>
      <c r="X52">
        <v>66</v>
      </c>
      <c r="Y52">
        <v>52</v>
      </c>
      <c r="Z52">
        <v>66</v>
      </c>
    </row>
    <row r="53" spans="1:26" x14ac:dyDescent="0.25">
      <c r="A53">
        <v>119</v>
      </c>
      <c r="B53" t="s">
        <v>29</v>
      </c>
      <c r="C53" t="s">
        <v>38</v>
      </c>
      <c r="D53">
        <v>282</v>
      </c>
      <c r="E53" t="s">
        <v>47</v>
      </c>
      <c r="F53" t="s">
        <v>49</v>
      </c>
      <c r="G53" t="s">
        <v>52</v>
      </c>
      <c r="H53" t="s">
        <v>56</v>
      </c>
      <c r="I53">
        <v>1007</v>
      </c>
      <c r="J53" t="s">
        <v>66</v>
      </c>
      <c r="K53" t="s">
        <v>69</v>
      </c>
      <c r="L53" t="s">
        <v>72</v>
      </c>
      <c r="M53">
        <v>72282</v>
      </c>
      <c r="N53">
        <v>4</v>
      </c>
      <c r="O53" t="s">
        <v>73</v>
      </c>
      <c r="P53">
        <v>3</v>
      </c>
      <c r="Q53">
        <v>20240604</v>
      </c>
      <c r="R53" t="s">
        <v>88</v>
      </c>
      <c r="S53">
        <v>20240605</v>
      </c>
      <c r="T53" t="s">
        <v>186</v>
      </c>
      <c r="U53" t="s">
        <v>273</v>
      </c>
      <c r="V53">
        <v>1</v>
      </c>
      <c r="W53">
        <v>5</v>
      </c>
      <c r="X53">
        <v>282</v>
      </c>
      <c r="Y53">
        <v>277</v>
      </c>
      <c r="Z53">
        <v>1410</v>
      </c>
    </row>
    <row r="54" spans="1:26" x14ac:dyDescent="0.25">
      <c r="A54">
        <v>128</v>
      </c>
      <c r="B54" t="s">
        <v>33</v>
      </c>
      <c r="C54" t="s">
        <v>42</v>
      </c>
      <c r="D54">
        <v>401</v>
      </c>
      <c r="E54" t="s">
        <v>47</v>
      </c>
      <c r="F54" t="s">
        <v>50</v>
      </c>
      <c r="G54" t="s">
        <v>52</v>
      </c>
      <c r="H54" t="s">
        <v>58</v>
      </c>
      <c r="I54">
        <v>1007</v>
      </c>
      <c r="J54" t="s">
        <v>66</v>
      </c>
      <c r="K54" t="s">
        <v>69</v>
      </c>
      <c r="L54" t="s">
        <v>72</v>
      </c>
      <c r="M54">
        <v>72282</v>
      </c>
      <c r="N54">
        <v>4</v>
      </c>
      <c r="O54" t="s">
        <v>73</v>
      </c>
      <c r="P54">
        <v>3</v>
      </c>
      <c r="Q54">
        <v>20250301</v>
      </c>
      <c r="R54" t="s">
        <v>108</v>
      </c>
      <c r="S54">
        <v>20250304</v>
      </c>
      <c r="T54" t="s">
        <v>187</v>
      </c>
      <c r="U54" t="s">
        <v>274</v>
      </c>
      <c r="V54">
        <v>1</v>
      </c>
      <c r="W54">
        <v>3</v>
      </c>
      <c r="X54">
        <v>401</v>
      </c>
      <c r="Y54">
        <v>390</v>
      </c>
      <c r="Z54">
        <v>1203</v>
      </c>
    </row>
    <row r="55" spans="1:26" x14ac:dyDescent="0.25">
      <c r="A55">
        <v>141</v>
      </c>
      <c r="B55" t="s">
        <v>32</v>
      </c>
      <c r="C55" t="s">
        <v>41</v>
      </c>
      <c r="D55">
        <v>66</v>
      </c>
      <c r="E55" t="s">
        <v>44</v>
      </c>
      <c r="F55" t="s">
        <v>50</v>
      </c>
      <c r="G55" t="s">
        <v>51</v>
      </c>
      <c r="H55" t="s">
        <v>57</v>
      </c>
      <c r="I55">
        <v>1016</v>
      </c>
      <c r="J55" t="s">
        <v>68</v>
      </c>
      <c r="K55" t="s">
        <v>70</v>
      </c>
      <c r="L55" t="s">
        <v>72</v>
      </c>
      <c r="M55">
        <v>50603</v>
      </c>
      <c r="N55">
        <v>1</v>
      </c>
      <c r="O55" t="s">
        <v>74</v>
      </c>
      <c r="P55">
        <v>0</v>
      </c>
      <c r="Q55">
        <v>20241017</v>
      </c>
      <c r="R55" t="s">
        <v>107</v>
      </c>
      <c r="S55">
        <v>20241019</v>
      </c>
      <c r="T55" t="s">
        <v>171</v>
      </c>
      <c r="U55" t="s">
        <v>275</v>
      </c>
      <c r="V55">
        <v>1</v>
      </c>
      <c r="W55">
        <v>3</v>
      </c>
      <c r="X55">
        <v>66</v>
      </c>
      <c r="Y55">
        <v>54</v>
      </c>
      <c r="Z55">
        <v>198</v>
      </c>
    </row>
    <row r="56" spans="1:26" x14ac:dyDescent="0.25">
      <c r="A56">
        <v>119</v>
      </c>
      <c r="B56" t="s">
        <v>29</v>
      </c>
      <c r="C56" t="s">
        <v>38</v>
      </c>
      <c r="D56">
        <v>282</v>
      </c>
      <c r="E56" t="s">
        <v>47</v>
      </c>
      <c r="F56" t="s">
        <v>49</v>
      </c>
      <c r="G56" t="s">
        <v>52</v>
      </c>
      <c r="H56" t="s">
        <v>56</v>
      </c>
      <c r="I56">
        <v>1002</v>
      </c>
      <c r="J56" t="s">
        <v>61</v>
      </c>
      <c r="K56" t="s">
        <v>70</v>
      </c>
      <c r="L56" t="s">
        <v>72</v>
      </c>
      <c r="M56">
        <v>64715</v>
      </c>
      <c r="N56">
        <v>1</v>
      </c>
      <c r="O56" t="s">
        <v>74</v>
      </c>
      <c r="P56">
        <v>1</v>
      </c>
      <c r="Q56">
        <v>20241101</v>
      </c>
      <c r="R56" t="s">
        <v>118</v>
      </c>
      <c r="S56">
        <v>20241104</v>
      </c>
      <c r="T56" t="s">
        <v>188</v>
      </c>
      <c r="U56" t="s">
        <v>276</v>
      </c>
      <c r="V56">
        <v>1</v>
      </c>
      <c r="W56">
        <v>5</v>
      </c>
      <c r="X56">
        <v>282</v>
      </c>
      <c r="Y56">
        <v>274</v>
      </c>
      <c r="Z56">
        <v>1410</v>
      </c>
    </row>
    <row r="57" spans="1:26" x14ac:dyDescent="0.25">
      <c r="A57">
        <v>105</v>
      </c>
      <c r="B57" t="s">
        <v>26</v>
      </c>
      <c r="C57" t="s">
        <v>35</v>
      </c>
      <c r="D57">
        <v>165</v>
      </c>
      <c r="E57" t="s">
        <v>44</v>
      </c>
      <c r="F57" t="s">
        <v>48</v>
      </c>
      <c r="G57" t="s">
        <v>51</v>
      </c>
      <c r="H57" t="s">
        <v>53</v>
      </c>
      <c r="I57">
        <v>1014</v>
      </c>
      <c r="J57" t="s">
        <v>63</v>
      </c>
      <c r="K57" t="s">
        <v>70</v>
      </c>
      <c r="L57" t="s">
        <v>72</v>
      </c>
      <c r="M57">
        <v>38460</v>
      </c>
      <c r="N57">
        <v>0</v>
      </c>
      <c r="O57" t="s">
        <v>73</v>
      </c>
      <c r="P57">
        <v>0</v>
      </c>
      <c r="Q57">
        <v>20250629</v>
      </c>
      <c r="R57" t="s">
        <v>119</v>
      </c>
      <c r="S57">
        <v>20250630</v>
      </c>
      <c r="T57" t="s">
        <v>189</v>
      </c>
      <c r="U57" t="s">
        <v>277</v>
      </c>
      <c r="V57">
        <v>1</v>
      </c>
      <c r="W57">
        <v>5</v>
      </c>
      <c r="X57">
        <v>165</v>
      </c>
      <c r="Y57">
        <v>155</v>
      </c>
      <c r="Z57">
        <v>825</v>
      </c>
    </row>
    <row r="58" spans="1:26" x14ac:dyDescent="0.25">
      <c r="A58">
        <v>119</v>
      </c>
      <c r="B58" t="s">
        <v>29</v>
      </c>
      <c r="C58" t="s">
        <v>38</v>
      </c>
      <c r="D58">
        <v>282</v>
      </c>
      <c r="E58" t="s">
        <v>47</v>
      </c>
      <c r="F58" t="s">
        <v>49</v>
      </c>
      <c r="G58" t="s">
        <v>52</v>
      </c>
      <c r="H58" t="s">
        <v>56</v>
      </c>
      <c r="I58">
        <v>1018</v>
      </c>
      <c r="J58" t="s">
        <v>64</v>
      </c>
      <c r="K58" t="s">
        <v>70</v>
      </c>
      <c r="L58" t="s">
        <v>71</v>
      </c>
      <c r="M58">
        <v>49779</v>
      </c>
      <c r="N58">
        <v>2</v>
      </c>
      <c r="O58" t="s">
        <v>74</v>
      </c>
      <c r="P58">
        <v>0</v>
      </c>
      <c r="Q58">
        <v>20220630</v>
      </c>
      <c r="R58" t="s">
        <v>99</v>
      </c>
      <c r="S58">
        <v>20220702</v>
      </c>
      <c r="T58" t="s">
        <v>190</v>
      </c>
      <c r="U58" t="s">
        <v>278</v>
      </c>
      <c r="V58">
        <v>1</v>
      </c>
      <c r="W58">
        <v>2</v>
      </c>
      <c r="X58">
        <v>282</v>
      </c>
      <c r="Y58">
        <v>268</v>
      </c>
      <c r="Z58">
        <v>564</v>
      </c>
    </row>
    <row r="59" spans="1:26" x14ac:dyDescent="0.25">
      <c r="A59">
        <v>121</v>
      </c>
      <c r="B59" t="s">
        <v>30</v>
      </c>
      <c r="C59" t="s">
        <v>39</v>
      </c>
      <c r="D59">
        <v>215</v>
      </c>
      <c r="E59" t="s">
        <v>44</v>
      </c>
      <c r="F59" t="s">
        <v>50</v>
      </c>
      <c r="G59" t="s">
        <v>52</v>
      </c>
      <c r="H59" t="s">
        <v>55</v>
      </c>
      <c r="I59">
        <v>1010</v>
      </c>
      <c r="J59" t="s">
        <v>59</v>
      </c>
      <c r="K59" t="s">
        <v>69</v>
      </c>
      <c r="L59" t="s">
        <v>71</v>
      </c>
      <c r="M59">
        <v>68571</v>
      </c>
      <c r="N59">
        <v>0</v>
      </c>
      <c r="O59" t="s">
        <v>73</v>
      </c>
      <c r="P59">
        <v>1</v>
      </c>
      <c r="Q59">
        <v>20241231</v>
      </c>
      <c r="R59" t="s">
        <v>120</v>
      </c>
      <c r="S59">
        <v>20250103</v>
      </c>
      <c r="T59" t="s">
        <v>191</v>
      </c>
      <c r="U59" t="s">
        <v>279</v>
      </c>
      <c r="V59">
        <v>1</v>
      </c>
      <c r="W59">
        <v>3</v>
      </c>
      <c r="X59">
        <v>215</v>
      </c>
      <c r="Y59">
        <v>201</v>
      </c>
      <c r="Z59">
        <v>645</v>
      </c>
    </row>
    <row r="60" spans="1:26" x14ac:dyDescent="0.25">
      <c r="A60">
        <v>105</v>
      </c>
      <c r="B60" t="s">
        <v>26</v>
      </c>
      <c r="C60" t="s">
        <v>35</v>
      </c>
      <c r="D60">
        <v>165</v>
      </c>
      <c r="E60" t="s">
        <v>44</v>
      </c>
      <c r="F60" t="s">
        <v>48</v>
      </c>
      <c r="G60" t="s">
        <v>51</v>
      </c>
      <c r="H60" t="s">
        <v>53</v>
      </c>
      <c r="I60">
        <v>1002</v>
      </c>
      <c r="J60" t="s">
        <v>61</v>
      </c>
      <c r="K60" t="s">
        <v>70</v>
      </c>
      <c r="L60" t="s">
        <v>72</v>
      </c>
      <c r="M60">
        <v>64715</v>
      </c>
      <c r="N60">
        <v>1</v>
      </c>
      <c r="O60" t="s">
        <v>74</v>
      </c>
      <c r="P60">
        <v>1</v>
      </c>
      <c r="Q60">
        <v>20250130</v>
      </c>
      <c r="R60" t="s">
        <v>121</v>
      </c>
      <c r="S60">
        <v>20250131</v>
      </c>
      <c r="T60" t="s">
        <v>192</v>
      </c>
      <c r="U60" t="s">
        <v>280</v>
      </c>
      <c r="V60">
        <v>1</v>
      </c>
      <c r="W60">
        <v>5</v>
      </c>
      <c r="X60">
        <v>165</v>
      </c>
      <c r="Y60">
        <v>160</v>
      </c>
      <c r="Z60">
        <v>825</v>
      </c>
    </row>
    <row r="61" spans="1:26" x14ac:dyDescent="0.25">
      <c r="A61">
        <v>114</v>
      </c>
      <c r="B61" t="s">
        <v>31</v>
      </c>
      <c r="C61" t="s">
        <v>40</v>
      </c>
      <c r="D61">
        <v>253</v>
      </c>
      <c r="E61" t="s">
        <v>47</v>
      </c>
      <c r="F61" t="s">
        <v>48</v>
      </c>
      <c r="G61" t="s">
        <v>52</v>
      </c>
      <c r="H61" t="s">
        <v>55</v>
      </c>
      <c r="I61">
        <v>1018</v>
      </c>
      <c r="J61" t="s">
        <v>64</v>
      </c>
      <c r="K61" t="s">
        <v>70</v>
      </c>
      <c r="L61" t="s">
        <v>71</v>
      </c>
      <c r="M61">
        <v>49779</v>
      </c>
      <c r="N61">
        <v>2</v>
      </c>
      <c r="O61" t="s">
        <v>74</v>
      </c>
      <c r="P61">
        <v>0</v>
      </c>
      <c r="Q61">
        <v>20240505</v>
      </c>
      <c r="R61" t="s">
        <v>91</v>
      </c>
      <c r="S61">
        <v>20240507</v>
      </c>
      <c r="T61" t="s">
        <v>153</v>
      </c>
      <c r="U61" t="s">
        <v>281</v>
      </c>
      <c r="V61">
        <v>1</v>
      </c>
      <c r="W61">
        <v>3</v>
      </c>
      <c r="X61">
        <v>253</v>
      </c>
      <c r="Y61">
        <v>243</v>
      </c>
      <c r="Z61">
        <v>759</v>
      </c>
    </row>
    <row r="62" spans="1:26" x14ac:dyDescent="0.25">
      <c r="A62">
        <v>114</v>
      </c>
      <c r="B62" t="s">
        <v>31</v>
      </c>
      <c r="C62" t="s">
        <v>40</v>
      </c>
      <c r="D62">
        <v>253</v>
      </c>
      <c r="E62" t="s">
        <v>47</v>
      </c>
      <c r="F62" t="s">
        <v>48</v>
      </c>
      <c r="G62" t="s">
        <v>52</v>
      </c>
      <c r="H62" t="s">
        <v>55</v>
      </c>
      <c r="I62">
        <v>1007</v>
      </c>
      <c r="J62" t="s">
        <v>66</v>
      </c>
      <c r="K62" t="s">
        <v>69</v>
      </c>
      <c r="L62" t="s">
        <v>72</v>
      </c>
      <c r="M62">
        <v>72282</v>
      </c>
      <c r="N62">
        <v>4</v>
      </c>
      <c r="O62" t="s">
        <v>73</v>
      </c>
      <c r="P62">
        <v>3</v>
      </c>
      <c r="Q62">
        <v>20220215</v>
      </c>
      <c r="R62" t="s">
        <v>105</v>
      </c>
      <c r="S62">
        <v>20220218</v>
      </c>
      <c r="T62" t="s">
        <v>169</v>
      </c>
      <c r="U62" t="s">
        <v>282</v>
      </c>
      <c r="V62">
        <v>1</v>
      </c>
      <c r="W62">
        <v>4</v>
      </c>
      <c r="X62">
        <v>253</v>
      </c>
      <c r="Y62">
        <v>239</v>
      </c>
      <c r="Z62">
        <v>1012</v>
      </c>
    </row>
    <row r="63" spans="1:26" x14ac:dyDescent="0.25">
      <c r="A63">
        <v>119</v>
      </c>
      <c r="B63" t="s">
        <v>29</v>
      </c>
      <c r="C63" t="s">
        <v>38</v>
      </c>
      <c r="D63">
        <v>282</v>
      </c>
      <c r="E63" t="s">
        <v>47</v>
      </c>
      <c r="F63" t="s">
        <v>49</v>
      </c>
      <c r="G63" t="s">
        <v>52</v>
      </c>
      <c r="H63" t="s">
        <v>56</v>
      </c>
      <c r="I63">
        <v>1043</v>
      </c>
      <c r="J63" t="s">
        <v>60</v>
      </c>
      <c r="K63" t="s">
        <v>70</v>
      </c>
      <c r="L63" t="s">
        <v>72</v>
      </c>
      <c r="M63">
        <v>25072</v>
      </c>
      <c r="N63">
        <v>1</v>
      </c>
      <c r="O63" t="s">
        <v>73</v>
      </c>
      <c r="P63">
        <v>2</v>
      </c>
      <c r="Q63">
        <v>20220630</v>
      </c>
      <c r="R63" t="s">
        <v>99</v>
      </c>
      <c r="S63">
        <v>20220701</v>
      </c>
      <c r="T63" t="s">
        <v>193</v>
      </c>
      <c r="U63" t="s">
        <v>283</v>
      </c>
      <c r="V63">
        <v>1</v>
      </c>
      <c r="W63">
        <v>4</v>
      </c>
      <c r="X63">
        <v>282</v>
      </c>
      <c r="Y63">
        <v>267</v>
      </c>
      <c r="Z63">
        <v>1128</v>
      </c>
    </row>
    <row r="64" spans="1:26" x14ac:dyDescent="0.25">
      <c r="A64">
        <v>112</v>
      </c>
      <c r="B64" t="s">
        <v>28</v>
      </c>
      <c r="C64" t="s">
        <v>37</v>
      </c>
      <c r="D64">
        <v>465</v>
      </c>
      <c r="E64" t="s">
        <v>46</v>
      </c>
      <c r="F64" t="s">
        <v>50</v>
      </c>
      <c r="G64" t="s">
        <v>52</v>
      </c>
      <c r="H64" t="s">
        <v>55</v>
      </c>
      <c r="I64">
        <v>1007</v>
      </c>
      <c r="J64" t="s">
        <v>66</v>
      </c>
      <c r="K64" t="s">
        <v>69</v>
      </c>
      <c r="L64" t="s">
        <v>72</v>
      </c>
      <c r="M64">
        <v>72282</v>
      </c>
      <c r="N64">
        <v>4</v>
      </c>
      <c r="O64" t="s">
        <v>73</v>
      </c>
      <c r="P64">
        <v>3</v>
      </c>
      <c r="Q64">
        <v>20220730</v>
      </c>
      <c r="R64" t="s">
        <v>113</v>
      </c>
      <c r="S64">
        <v>20220801</v>
      </c>
      <c r="T64" t="s">
        <v>194</v>
      </c>
      <c r="U64" t="s">
        <v>284</v>
      </c>
      <c r="V64">
        <v>1</v>
      </c>
      <c r="W64">
        <v>3</v>
      </c>
      <c r="X64">
        <v>465</v>
      </c>
      <c r="Y64">
        <v>459</v>
      </c>
      <c r="Z64">
        <v>1395</v>
      </c>
    </row>
    <row r="65" spans="1:26" x14ac:dyDescent="0.25">
      <c r="A65">
        <v>119</v>
      </c>
      <c r="B65" t="s">
        <v>29</v>
      </c>
      <c r="C65" t="s">
        <v>38</v>
      </c>
      <c r="D65">
        <v>282</v>
      </c>
      <c r="E65" t="s">
        <v>47</v>
      </c>
      <c r="F65" t="s">
        <v>49</v>
      </c>
      <c r="G65" t="s">
        <v>52</v>
      </c>
      <c r="H65" t="s">
        <v>56</v>
      </c>
      <c r="I65">
        <v>1007</v>
      </c>
      <c r="J65" t="s">
        <v>66</v>
      </c>
      <c r="K65" t="s">
        <v>69</v>
      </c>
      <c r="L65" t="s">
        <v>72</v>
      </c>
      <c r="M65">
        <v>72282</v>
      </c>
      <c r="N65">
        <v>4</v>
      </c>
      <c r="O65" t="s">
        <v>73</v>
      </c>
      <c r="P65">
        <v>3</v>
      </c>
      <c r="Q65">
        <v>20230210</v>
      </c>
      <c r="R65" t="s">
        <v>122</v>
      </c>
      <c r="S65">
        <v>20230213</v>
      </c>
      <c r="T65" t="s">
        <v>195</v>
      </c>
      <c r="U65" t="s">
        <v>285</v>
      </c>
      <c r="V65">
        <v>1</v>
      </c>
      <c r="W65">
        <v>5</v>
      </c>
      <c r="X65">
        <v>282</v>
      </c>
      <c r="Y65">
        <v>268</v>
      </c>
      <c r="Z65">
        <v>1410</v>
      </c>
    </row>
    <row r="66" spans="1:26" x14ac:dyDescent="0.25">
      <c r="A66">
        <v>105</v>
      </c>
      <c r="B66" t="s">
        <v>26</v>
      </c>
      <c r="C66" t="s">
        <v>35</v>
      </c>
      <c r="D66">
        <v>165</v>
      </c>
      <c r="E66" t="s">
        <v>44</v>
      </c>
      <c r="F66" t="s">
        <v>48</v>
      </c>
      <c r="G66" t="s">
        <v>51</v>
      </c>
      <c r="H66" t="s">
        <v>53</v>
      </c>
      <c r="I66">
        <v>1014</v>
      </c>
      <c r="J66" t="s">
        <v>63</v>
      </c>
      <c r="K66" t="s">
        <v>70</v>
      </c>
      <c r="L66" t="s">
        <v>72</v>
      </c>
      <c r="M66">
        <v>38460</v>
      </c>
      <c r="N66">
        <v>0</v>
      </c>
      <c r="O66" t="s">
        <v>73</v>
      </c>
      <c r="P66">
        <v>0</v>
      </c>
      <c r="Q66">
        <v>20221227</v>
      </c>
      <c r="R66" t="s">
        <v>111</v>
      </c>
      <c r="S66">
        <v>20221228</v>
      </c>
      <c r="T66" t="s">
        <v>178</v>
      </c>
      <c r="U66" t="s">
        <v>286</v>
      </c>
      <c r="V66">
        <v>1</v>
      </c>
      <c r="W66">
        <v>3</v>
      </c>
      <c r="X66">
        <v>165</v>
      </c>
      <c r="Y66">
        <v>156</v>
      </c>
      <c r="Z66">
        <v>495</v>
      </c>
    </row>
    <row r="67" spans="1:26" x14ac:dyDescent="0.25">
      <c r="A67">
        <v>118</v>
      </c>
      <c r="B67" t="s">
        <v>34</v>
      </c>
      <c r="C67" t="s">
        <v>43</v>
      </c>
      <c r="D67">
        <v>63</v>
      </c>
      <c r="E67" t="s">
        <v>44</v>
      </c>
      <c r="F67" t="s">
        <v>48</v>
      </c>
      <c r="G67" t="s">
        <v>51</v>
      </c>
      <c r="H67" t="s">
        <v>53</v>
      </c>
      <c r="I67">
        <v>1010</v>
      </c>
      <c r="J67" t="s">
        <v>59</v>
      </c>
      <c r="K67" t="s">
        <v>69</v>
      </c>
      <c r="L67" t="s">
        <v>71</v>
      </c>
      <c r="M67">
        <v>68571</v>
      </c>
      <c r="N67">
        <v>0</v>
      </c>
      <c r="O67" t="s">
        <v>73</v>
      </c>
      <c r="P67">
        <v>1</v>
      </c>
      <c r="Q67">
        <v>20240420</v>
      </c>
      <c r="R67" t="s">
        <v>80</v>
      </c>
      <c r="S67">
        <v>20240423</v>
      </c>
      <c r="T67" t="s">
        <v>141</v>
      </c>
      <c r="U67" t="s">
        <v>287</v>
      </c>
      <c r="V67">
        <v>1</v>
      </c>
      <c r="W67">
        <v>1</v>
      </c>
      <c r="X67">
        <v>63</v>
      </c>
      <c r="Y67">
        <v>49</v>
      </c>
      <c r="Z67">
        <v>63</v>
      </c>
    </row>
    <row r="68" spans="1:26" x14ac:dyDescent="0.25">
      <c r="A68">
        <v>121</v>
      </c>
      <c r="B68" t="s">
        <v>30</v>
      </c>
      <c r="C68" t="s">
        <v>39</v>
      </c>
      <c r="D68">
        <v>215</v>
      </c>
      <c r="E68" t="s">
        <v>44</v>
      </c>
      <c r="F68" t="s">
        <v>50</v>
      </c>
      <c r="G68" t="s">
        <v>52</v>
      </c>
      <c r="H68" t="s">
        <v>55</v>
      </c>
      <c r="I68">
        <v>1022</v>
      </c>
      <c r="J68" t="s">
        <v>65</v>
      </c>
      <c r="K68" t="s">
        <v>70</v>
      </c>
      <c r="L68" t="s">
        <v>71</v>
      </c>
      <c r="M68">
        <v>52944</v>
      </c>
      <c r="N68">
        <v>3</v>
      </c>
      <c r="O68" t="s">
        <v>73</v>
      </c>
      <c r="P68">
        <v>1</v>
      </c>
      <c r="Q68">
        <v>20230625</v>
      </c>
      <c r="R68" t="s">
        <v>123</v>
      </c>
      <c r="S68">
        <v>20230627</v>
      </c>
      <c r="T68" t="s">
        <v>196</v>
      </c>
      <c r="U68" t="s">
        <v>288</v>
      </c>
      <c r="V68">
        <v>1</v>
      </c>
      <c r="W68">
        <v>3</v>
      </c>
      <c r="X68">
        <v>215</v>
      </c>
      <c r="Y68">
        <v>206</v>
      </c>
      <c r="Z68">
        <v>645</v>
      </c>
    </row>
    <row r="69" spans="1:26" x14ac:dyDescent="0.25">
      <c r="A69">
        <v>112</v>
      </c>
      <c r="B69" t="s">
        <v>28</v>
      </c>
      <c r="C69" t="s">
        <v>37</v>
      </c>
      <c r="D69">
        <v>465</v>
      </c>
      <c r="E69" t="s">
        <v>46</v>
      </c>
      <c r="F69" t="s">
        <v>50</v>
      </c>
      <c r="G69" t="s">
        <v>52</v>
      </c>
      <c r="H69" t="s">
        <v>55</v>
      </c>
      <c r="I69">
        <v>1002</v>
      </c>
      <c r="J69" t="s">
        <v>61</v>
      </c>
      <c r="K69" t="s">
        <v>70</v>
      </c>
      <c r="L69" t="s">
        <v>72</v>
      </c>
      <c r="M69">
        <v>64715</v>
      </c>
      <c r="N69">
        <v>1</v>
      </c>
      <c r="O69" t="s">
        <v>74</v>
      </c>
      <c r="P69">
        <v>1</v>
      </c>
      <c r="Q69">
        <v>20240405</v>
      </c>
      <c r="R69" t="s">
        <v>86</v>
      </c>
      <c r="S69">
        <v>20240406</v>
      </c>
      <c r="T69" t="s">
        <v>147</v>
      </c>
      <c r="U69" t="s">
        <v>289</v>
      </c>
      <c r="V69">
        <v>1</v>
      </c>
      <c r="W69">
        <v>4</v>
      </c>
      <c r="X69">
        <v>465</v>
      </c>
      <c r="Y69">
        <v>460</v>
      </c>
      <c r="Z69">
        <v>1860</v>
      </c>
    </row>
    <row r="70" spans="1:26" x14ac:dyDescent="0.25">
      <c r="A70">
        <v>119</v>
      </c>
      <c r="B70" t="s">
        <v>29</v>
      </c>
      <c r="C70" t="s">
        <v>38</v>
      </c>
      <c r="D70">
        <v>282</v>
      </c>
      <c r="E70" t="s">
        <v>47</v>
      </c>
      <c r="F70" t="s">
        <v>49</v>
      </c>
      <c r="G70" t="s">
        <v>52</v>
      </c>
      <c r="H70" t="s">
        <v>56</v>
      </c>
      <c r="I70">
        <v>1043</v>
      </c>
      <c r="J70" t="s">
        <v>60</v>
      </c>
      <c r="K70" t="s">
        <v>70</v>
      </c>
      <c r="L70" t="s">
        <v>72</v>
      </c>
      <c r="M70">
        <v>25072</v>
      </c>
      <c r="N70">
        <v>1</v>
      </c>
      <c r="O70" t="s">
        <v>73</v>
      </c>
      <c r="P70">
        <v>2</v>
      </c>
      <c r="Q70">
        <v>20250629</v>
      </c>
      <c r="R70" t="s">
        <v>119</v>
      </c>
      <c r="S70">
        <v>20250701</v>
      </c>
      <c r="T70" t="s">
        <v>197</v>
      </c>
      <c r="U70" t="s">
        <v>290</v>
      </c>
      <c r="V70">
        <v>1</v>
      </c>
      <c r="W70">
        <v>1</v>
      </c>
      <c r="X70">
        <v>282</v>
      </c>
      <c r="Y70">
        <v>275</v>
      </c>
      <c r="Z70">
        <v>282</v>
      </c>
    </row>
    <row r="71" spans="1:26" x14ac:dyDescent="0.25">
      <c r="A71">
        <v>119</v>
      </c>
      <c r="B71" t="s">
        <v>29</v>
      </c>
      <c r="C71" t="s">
        <v>38</v>
      </c>
      <c r="D71">
        <v>282</v>
      </c>
      <c r="E71" t="s">
        <v>47</v>
      </c>
      <c r="F71" t="s">
        <v>49</v>
      </c>
      <c r="G71" t="s">
        <v>52</v>
      </c>
      <c r="H71" t="s">
        <v>56</v>
      </c>
      <c r="I71">
        <v>1010</v>
      </c>
      <c r="J71" t="s">
        <v>59</v>
      </c>
      <c r="K71" t="s">
        <v>69</v>
      </c>
      <c r="L71" t="s">
        <v>71</v>
      </c>
      <c r="M71">
        <v>68571</v>
      </c>
      <c r="N71">
        <v>0</v>
      </c>
      <c r="O71" t="s">
        <v>73</v>
      </c>
      <c r="P71">
        <v>1</v>
      </c>
      <c r="Q71">
        <v>20250331</v>
      </c>
      <c r="R71" t="s">
        <v>124</v>
      </c>
      <c r="S71">
        <v>20250403</v>
      </c>
      <c r="T71" t="s">
        <v>198</v>
      </c>
      <c r="U71" t="s">
        <v>291</v>
      </c>
      <c r="V71">
        <v>1</v>
      </c>
      <c r="W71">
        <v>3</v>
      </c>
      <c r="X71">
        <v>282</v>
      </c>
      <c r="Y71">
        <v>271</v>
      </c>
      <c r="Z71">
        <v>846</v>
      </c>
    </row>
    <row r="72" spans="1:26" x14ac:dyDescent="0.25">
      <c r="A72">
        <v>114</v>
      </c>
      <c r="B72" t="s">
        <v>31</v>
      </c>
      <c r="C72" t="s">
        <v>40</v>
      </c>
      <c r="D72">
        <v>253</v>
      </c>
      <c r="E72" t="s">
        <v>47</v>
      </c>
      <c r="F72" t="s">
        <v>48</v>
      </c>
      <c r="G72" t="s">
        <v>52</v>
      </c>
      <c r="H72" t="s">
        <v>55</v>
      </c>
      <c r="I72">
        <v>1022</v>
      </c>
      <c r="J72" t="s">
        <v>65</v>
      </c>
      <c r="K72" t="s">
        <v>70</v>
      </c>
      <c r="L72" t="s">
        <v>71</v>
      </c>
      <c r="M72">
        <v>52944</v>
      </c>
      <c r="N72">
        <v>3</v>
      </c>
      <c r="O72" t="s">
        <v>73</v>
      </c>
      <c r="P72">
        <v>1</v>
      </c>
      <c r="Q72">
        <v>20240704</v>
      </c>
      <c r="R72" t="s">
        <v>125</v>
      </c>
      <c r="S72">
        <v>20240707</v>
      </c>
      <c r="T72" t="s">
        <v>199</v>
      </c>
      <c r="U72" t="s">
        <v>292</v>
      </c>
      <c r="V72">
        <v>1</v>
      </c>
      <c r="W72">
        <v>3</v>
      </c>
      <c r="X72">
        <v>253</v>
      </c>
      <c r="Y72">
        <v>239</v>
      </c>
      <c r="Z72">
        <v>759</v>
      </c>
    </row>
    <row r="73" spans="1:26" x14ac:dyDescent="0.25">
      <c r="A73">
        <v>141</v>
      </c>
      <c r="B73" t="s">
        <v>32</v>
      </c>
      <c r="C73" t="s">
        <v>41</v>
      </c>
      <c r="D73">
        <v>66</v>
      </c>
      <c r="E73" t="s">
        <v>44</v>
      </c>
      <c r="F73" t="s">
        <v>50</v>
      </c>
      <c r="G73" t="s">
        <v>51</v>
      </c>
      <c r="H73" t="s">
        <v>57</v>
      </c>
      <c r="I73">
        <v>1010</v>
      </c>
      <c r="J73" t="s">
        <v>59</v>
      </c>
      <c r="K73" t="s">
        <v>69</v>
      </c>
      <c r="L73" t="s">
        <v>71</v>
      </c>
      <c r="M73">
        <v>68571</v>
      </c>
      <c r="N73">
        <v>0</v>
      </c>
      <c r="O73" t="s">
        <v>73</v>
      </c>
      <c r="P73">
        <v>1</v>
      </c>
      <c r="Q73">
        <v>20251211</v>
      </c>
      <c r="R73" t="s">
        <v>92</v>
      </c>
      <c r="S73">
        <v>20251213</v>
      </c>
      <c r="T73" t="s">
        <v>154</v>
      </c>
      <c r="U73" t="s">
        <v>293</v>
      </c>
      <c r="V73">
        <v>1</v>
      </c>
      <c r="W73">
        <v>5</v>
      </c>
      <c r="X73">
        <v>66</v>
      </c>
      <c r="Y73">
        <v>56</v>
      </c>
      <c r="Z73">
        <v>330</v>
      </c>
    </row>
    <row r="74" spans="1:26" x14ac:dyDescent="0.25">
      <c r="A74">
        <v>144</v>
      </c>
      <c r="B74" t="s">
        <v>27</v>
      </c>
      <c r="C74" t="s">
        <v>36</v>
      </c>
      <c r="D74">
        <v>259</v>
      </c>
      <c r="E74" t="s">
        <v>45</v>
      </c>
      <c r="F74" t="s">
        <v>49</v>
      </c>
      <c r="G74" t="s">
        <v>51</v>
      </c>
      <c r="H74" t="s">
        <v>54</v>
      </c>
      <c r="I74">
        <v>1049</v>
      </c>
      <c r="J74" t="s">
        <v>67</v>
      </c>
      <c r="K74" t="s">
        <v>70</v>
      </c>
      <c r="L74" t="s">
        <v>71</v>
      </c>
      <c r="M74">
        <v>37462</v>
      </c>
      <c r="N74">
        <v>2</v>
      </c>
      <c r="O74" t="s">
        <v>73</v>
      </c>
      <c r="P74">
        <v>0</v>
      </c>
      <c r="Q74">
        <v>20240405</v>
      </c>
      <c r="R74" t="s">
        <v>86</v>
      </c>
      <c r="S74">
        <v>20240408</v>
      </c>
      <c r="T74" t="s">
        <v>200</v>
      </c>
      <c r="U74" t="s">
        <v>294</v>
      </c>
      <c r="V74">
        <v>1</v>
      </c>
      <c r="W74">
        <v>3</v>
      </c>
      <c r="X74">
        <v>259</v>
      </c>
      <c r="Y74">
        <v>244</v>
      </c>
      <c r="Z74">
        <v>777</v>
      </c>
    </row>
    <row r="75" spans="1:26" x14ac:dyDescent="0.25">
      <c r="A75">
        <v>119</v>
      </c>
      <c r="B75" t="s">
        <v>29</v>
      </c>
      <c r="C75" t="s">
        <v>38</v>
      </c>
      <c r="D75">
        <v>282</v>
      </c>
      <c r="E75" t="s">
        <v>47</v>
      </c>
      <c r="F75" t="s">
        <v>49</v>
      </c>
      <c r="G75" t="s">
        <v>52</v>
      </c>
      <c r="H75" t="s">
        <v>56</v>
      </c>
      <c r="I75">
        <v>1014</v>
      </c>
      <c r="J75" t="s">
        <v>63</v>
      </c>
      <c r="K75" t="s">
        <v>70</v>
      </c>
      <c r="L75" t="s">
        <v>72</v>
      </c>
      <c r="M75">
        <v>38460</v>
      </c>
      <c r="N75">
        <v>0</v>
      </c>
      <c r="O75" t="s">
        <v>73</v>
      </c>
      <c r="P75">
        <v>0</v>
      </c>
      <c r="Q75">
        <v>20250530</v>
      </c>
      <c r="R75" t="s">
        <v>126</v>
      </c>
      <c r="S75">
        <v>20250602</v>
      </c>
      <c r="T75" t="s">
        <v>201</v>
      </c>
      <c r="U75" t="s">
        <v>295</v>
      </c>
      <c r="V75">
        <v>1</v>
      </c>
      <c r="W75">
        <v>2</v>
      </c>
      <c r="X75">
        <v>282</v>
      </c>
      <c r="Y75">
        <v>272</v>
      </c>
      <c r="Z75">
        <v>564</v>
      </c>
    </row>
    <row r="76" spans="1:26" x14ac:dyDescent="0.25">
      <c r="A76">
        <v>105</v>
      </c>
      <c r="B76" t="s">
        <v>26</v>
      </c>
      <c r="C76" t="s">
        <v>35</v>
      </c>
      <c r="D76">
        <v>165</v>
      </c>
      <c r="E76" t="s">
        <v>44</v>
      </c>
      <c r="F76" t="s">
        <v>48</v>
      </c>
      <c r="G76" t="s">
        <v>51</v>
      </c>
      <c r="H76" t="s">
        <v>53</v>
      </c>
      <c r="I76">
        <v>1010</v>
      </c>
      <c r="J76" t="s">
        <v>59</v>
      </c>
      <c r="K76" t="s">
        <v>69</v>
      </c>
      <c r="L76" t="s">
        <v>71</v>
      </c>
      <c r="M76">
        <v>68571</v>
      </c>
      <c r="N76">
        <v>0</v>
      </c>
      <c r="O76" t="s">
        <v>73</v>
      </c>
      <c r="P76">
        <v>1</v>
      </c>
      <c r="Q76">
        <v>20240902</v>
      </c>
      <c r="R76" t="s">
        <v>110</v>
      </c>
      <c r="S76">
        <v>20240903</v>
      </c>
      <c r="T76" t="s">
        <v>202</v>
      </c>
      <c r="U76" t="s">
        <v>296</v>
      </c>
      <c r="V76">
        <v>1</v>
      </c>
      <c r="W76">
        <v>1</v>
      </c>
      <c r="X76">
        <v>165</v>
      </c>
      <c r="Y76">
        <v>150</v>
      </c>
      <c r="Z76">
        <v>165</v>
      </c>
    </row>
    <row r="77" spans="1:26" x14ac:dyDescent="0.25">
      <c r="A77">
        <v>114</v>
      </c>
      <c r="B77" t="s">
        <v>31</v>
      </c>
      <c r="C77" t="s">
        <v>40</v>
      </c>
      <c r="D77">
        <v>253</v>
      </c>
      <c r="E77" t="s">
        <v>47</v>
      </c>
      <c r="F77" t="s">
        <v>48</v>
      </c>
      <c r="G77" t="s">
        <v>52</v>
      </c>
      <c r="H77" t="s">
        <v>55</v>
      </c>
      <c r="I77">
        <v>1030</v>
      </c>
      <c r="J77" t="s">
        <v>62</v>
      </c>
      <c r="K77" t="s">
        <v>70</v>
      </c>
      <c r="L77" t="s">
        <v>72</v>
      </c>
      <c r="M77">
        <v>51346</v>
      </c>
      <c r="N77">
        <v>2</v>
      </c>
      <c r="O77" t="s">
        <v>73</v>
      </c>
      <c r="P77">
        <v>1</v>
      </c>
      <c r="Q77">
        <v>20240121</v>
      </c>
      <c r="R77" t="s">
        <v>127</v>
      </c>
      <c r="S77">
        <v>20240123</v>
      </c>
      <c r="T77" t="s">
        <v>203</v>
      </c>
      <c r="U77" t="s">
        <v>297</v>
      </c>
      <c r="V77">
        <v>1</v>
      </c>
      <c r="W77">
        <v>3</v>
      </c>
      <c r="X77">
        <v>253</v>
      </c>
      <c r="Y77">
        <v>242</v>
      </c>
      <c r="Z77">
        <v>759</v>
      </c>
    </row>
    <row r="78" spans="1:26" x14ac:dyDescent="0.25">
      <c r="A78">
        <v>119</v>
      </c>
      <c r="B78" t="s">
        <v>29</v>
      </c>
      <c r="C78" t="s">
        <v>38</v>
      </c>
      <c r="D78">
        <v>282</v>
      </c>
      <c r="E78" t="s">
        <v>47</v>
      </c>
      <c r="F78" t="s">
        <v>49</v>
      </c>
      <c r="G78" t="s">
        <v>52</v>
      </c>
      <c r="H78" t="s">
        <v>56</v>
      </c>
      <c r="I78">
        <v>1030</v>
      </c>
      <c r="J78" t="s">
        <v>62</v>
      </c>
      <c r="K78" t="s">
        <v>70</v>
      </c>
      <c r="L78" t="s">
        <v>72</v>
      </c>
      <c r="M78">
        <v>51346</v>
      </c>
      <c r="N78">
        <v>2</v>
      </c>
      <c r="O78" t="s">
        <v>73</v>
      </c>
      <c r="P78">
        <v>1</v>
      </c>
      <c r="Q78">
        <v>20230225</v>
      </c>
      <c r="R78" t="s">
        <v>128</v>
      </c>
      <c r="S78">
        <v>20230228</v>
      </c>
      <c r="T78" t="s">
        <v>204</v>
      </c>
      <c r="U78" t="s">
        <v>298</v>
      </c>
      <c r="V78">
        <v>1</v>
      </c>
      <c r="W78">
        <v>3</v>
      </c>
      <c r="X78">
        <v>282</v>
      </c>
      <c r="Y78">
        <v>276</v>
      </c>
      <c r="Z78">
        <v>846</v>
      </c>
    </row>
    <row r="79" spans="1:26" x14ac:dyDescent="0.25">
      <c r="A79">
        <v>114</v>
      </c>
      <c r="B79" t="s">
        <v>31</v>
      </c>
      <c r="C79" t="s">
        <v>40</v>
      </c>
      <c r="D79">
        <v>253</v>
      </c>
      <c r="E79" t="s">
        <v>47</v>
      </c>
      <c r="F79" t="s">
        <v>48</v>
      </c>
      <c r="G79" t="s">
        <v>52</v>
      </c>
      <c r="H79" t="s">
        <v>55</v>
      </c>
      <c r="I79">
        <v>1007</v>
      </c>
      <c r="J79" t="s">
        <v>66</v>
      </c>
      <c r="K79" t="s">
        <v>69</v>
      </c>
      <c r="L79" t="s">
        <v>72</v>
      </c>
      <c r="M79">
        <v>72282</v>
      </c>
      <c r="N79">
        <v>4</v>
      </c>
      <c r="O79" t="s">
        <v>73</v>
      </c>
      <c r="P79">
        <v>3</v>
      </c>
      <c r="Q79">
        <v>20240205</v>
      </c>
      <c r="R79" t="s">
        <v>129</v>
      </c>
      <c r="S79">
        <v>20240208</v>
      </c>
      <c r="T79" t="s">
        <v>205</v>
      </c>
      <c r="U79" t="s">
        <v>299</v>
      </c>
      <c r="V79">
        <v>1</v>
      </c>
      <c r="W79">
        <v>1</v>
      </c>
      <c r="X79">
        <v>253</v>
      </c>
      <c r="Y79">
        <v>248</v>
      </c>
      <c r="Z79">
        <v>253</v>
      </c>
    </row>
    <row r="80" spans="1:26" x14ac:dyDescent="0.25">
      <c r="A80">
        <v>121</v>
      </c>
      <c r="B80" t="s">
        <v>30</v>
      </c>
      <c r="C80" t="s">
        <v>39</v>
      </c>
      <c r="D80">
        <v>215</v>
      </c>
      <c r="E80" t="s">
        <v>44</v>
      </c>
      <c r="F80" t="s">
        <v>50</v>
      </c>
      <c r="G80" t="s">
        <v>52</v>
      </c>
      <c r="H80" t="s">
        <v>55</v>
      </c>
      <c r="I80">
        <v>1049</v>
      </c>
      <c r="J80" t="s">
        <v>67</v>
      </c>
      <c r="K80" t="s">
        <v>70</v>
      </c>
      <c r="L80" t="s">
        <v>71</v>
      </c>
      <c r="M80">
        <v>37462</v>
      </c>
      <c r="N80">
        <v>2</v>
      </c>
      <c r="O80" t="s">
        <v>73</v>
      </c>
      <c r="P80">
        <v>0</v>
      </c>
      <c r="Q80">
        <v>20250130</v>
      </c>
      <c r="R80" t="s">
        <v>121</v>
      </c>
      <c r="S80">
        <v>20250202</v>
      </c>
      <c r="T80" t="s">
        <v>206</v>
      </c>
      <c r="U80" t="s">
        <v>300</v>
      </c>
      <c r="V80">
        <v>1</v>
      </c>
      <c r="W80">
        <v>4</v>
      </c>
      <c r="X80">
        <v>215</v>
      </c>
      <c r="Y80">
        <v>207</v>
      </c>
      <c r="Z80">
        <v>860</v>
      </c>
    </row>
    <row r="81" spans="1:26" x14ac:dyDescent="0.25">
      <c r="A81">
        <v>112</v>
      </c>
      <c r="B81" t="s">
        <v>28</v>
      </c>
      <c r="C81" t="s">
        <v>37</v>
      </c>
      <c r="D81">
        <v>465</v>
      </c>
      <c r="E81" t="s">
        <v>46</v>
      </c>
      <c r="F81" t="s">
        <v>50</v>
      </c>
      <c r="G81" t="s">
        <v>52</v>
      </c>
      <c r="H81" t="s">
        <v>55</v>
      </c>
      <c r="I81">
        <v>1016</v>
      </c>
      <c r="J81" t="s">
        <v>68</v>
      </c>
      <c r="K81" t="s">
        <v>70</v>
      </c>
      <c r="L81" t="s">
        <v>72</v>
      </c>
      <c r="M81">
        <v>50603</v>
      </c>
      <c r="N81">
        <v>1</v>
      </c>
      <c r="O81" t="s">
        <v>74</v>
      </c>
      <c r="P81">
        <v>0</v>
      </c>
      <c r="Q81">
        <v>20250614</v>
      </c>
      <c r="R81" t="s">
        <v>101</v>
      </c>
      <c r="S81">
        <v>20250615</v>
      </c>
      <c r="T81" t="s">
        <v>207</v>
      </c>
      <c r="U81" t="s">
        <v>301</v>
      </c>
      <c r="V81">
        <v>1</v>
      </c>
      <c r="W81">
        <v>1</v>
      </c>
      <c r="X81">
        <v>465</v>
      </c>
      <c r="Y81">
        <v>451</v>
      </c>
      <c r="Z81">
        <v>465</v>
      </c>
    </row>
    <row r="82" spans="1:26" x14ac:dyDescent="0.25">
      <c r="A82">
        <v>144</v>
      </c>
      <c r="B82" t="s">
        <v>27</v>
      </c>
      <c r="C82" t="s">
        <v>36</v>
      </c>
      <c r="D82">
        <v>259</v>
      </c>
      <c r="E82" t="s">
        <v>45</v>
      </c>
      <c r="F82" t="s">
        <v>49</v>
      </c>
      <c r="G82" t="s">
        <v>51</v>
      </c>
      <c r="H82" t="s">
        <v>54</v>
      </c>
      <c r="I82">
        <v>1043</v>
      </c>
      <c r="J82" t="s">
        <v>60</v>
      </c>
      <c r="K82" t="s">
        <v>70</v>
      </c>
      <c r="L82" t="s">
        <v>72</v>
      </c>
      <c r="M82">
        <v>25072</v>
      </c>
      <c r="N82">
        <v>1</v>
      </c>
      <c r="O82" t="s">
        <v>73</v>
      </c>
      <c r="P82">
        <v>2</v>
      </c>
      <c r="Q82">
        <v>20220615</v>
      </c>
      <c r="R82" t="s">
        <v>93</v>
      </c>
      <c r="S82">
        <v>20220618</v>
      </c>
      <c r="T82" t="s">
        <v>159</v>
      </c>
      <c r="U82" t="s">
        <v>302</v>
      </c>
      <c r="V82">
        <v>1</v>
      </c>
      <c r="W82">
        <v>4</v>
      </c>
      <c r="X82">
        <v>259</v>
      </c>
      <c r="Y82">
        <v>244</v>
      </c>
      <c r="Z82">
        <v>1036</v>
      </c>
    </row>
    <row r="83" spans="1:26" x14ac:dyDescent="0.25">
      <c r="A83">
        <v>144</v>
      </c>
      <c r="B83" t="s">
        <v>27</v>
      </c>
      <c r="C83" t="s">
        <v>36</v>
      </c>
      <c r="D83">
        <v>259</v>
      </c>
      <c r="E83" t="s">
        <v>45</v>
      </c>
      <c r="F83" t="s">
        <v>49</v>
      </c>
      <c r="G83" t="s">
        <v>51</v>
      </c>
      <c r="H83" t="s">
        <v>54</v>
      </c>
      <c r="I83">
        <v>1010</v>
      </c>
      <c r="J83" t="s">
        <v>59</v>
      </c>
      <c r="K83" t="s">
        <v>69</v>
      </c>
      <c r="L83" t="s">
        <v>71</v>
      </c>
      <c r="M83">
        <v>68571</v>
      </c>
      <c r="N83">
        <v>0</v>
      </c>
      <c r="O83" t="s">
        <v>73</v>
      </c>
      <c r="P83">
        <v>1</v>
      </c>
      <c r="Q83">
        <v>20220302</v>
      </c>
      <c r="R83" t="s">
        <v>109</v>
      </c>
      <c r="S83">
        <v>20220303</v>
      </c>
      <c r="T83" t="s">
        <v>208</v>
      </c>
      <c r="U83" t="s">
        <v>303</v>
      </c>
      <c r="V83">
        <v>1</v>
      </c>
      <c r="W83">
        <v>3</v>
      </c>
      <c r="X83">
        <v>259</v>
      </c>
      <c r="Y83">
        <v>246</v>
      </c>
      <c r="Z83">
        <v>777</v>
      </c>
    </row>
    <row r="84" spans="1:26" x14ac:dyDescent="0.25">
      <c r="A84">
        <v>121</v>
      </c>
      <c r="B84" t="s">
        <v>30</v>
      </c>
      <c r="C84" t="s">
        <v>39</v>
      </c>
      <c r="D84">
        <v>215</v>
      </c>
      <c r="E84" t="s">
        <v>44</v>
      </c>
      <c r="F84" t="s">
        <v>50</v>
      </c>
      <c r="G84" t="s">
        <v>52</v>
      </c>
      <c r="H84" t="s">
        <v>55</v>
      </c>
      <c r="I84">
        <v>1043</v>
      </c>
      <c r="J84" t="s">
        <v>60</v>
      </c>
      <c r="K84" t="s">
        <v>70</v>
      </c>
      <c r="L84" t="s">
        <v>72</v>
      </c>
      <c r="M84">
        <v>25072</v>
      </c>
      <c r="N84">
        <v>1</v>
      </c>
      <c r="O84" t="s">
        <v>73</v>
      </c>
      <c r="P84">
        <v>2</v>
      </c>
      <c r="Q84">
        <v>20230710</v>
      </c>
      <c r="R84" t="s">
        <v>130</v>
      </c>
      <c r="S84">
        <v>20230712</v>
      </c>
      <c r="T84" t="s">
        <v>209</v>
      </c>
      <c r="U84" t="s">
        <v>304</v>
      </c>
      <c r="V84">
        <v>1</v>
      </c>
      <c r="W84">
        <v>3</v>
      </c>
      <c r="X84">
        <v>215</v>
      </c>
      <c r="Y84">
        <v>206</v>
      </c>
      <c r="Z84">
        <v>645</v>
      </c>
    </row>
    <row r="85" spans="1:26" x14ac:dyDescent="0.25">
      <c r="A85">
        <v>118</v>
      </c>
      <c r="B85" t="s">
        <v>34</v>
      </c>
      <c r="C85" t="s">
        <v>43</v>
      </c>
      <c r="D85">
        <v>63</v>
      </c>
      <c r="E85" t="s">
        <v>44</v>
      </c>
      <c r="F85" t="s">
        <v>48</v>
      </c>
      <c r="G85" t="s">
        <v>51</v>
      </c>
      <c r="H85" t="s">
        <v>53</v>
      </c>
      <c r="I85">
        <v>1030</v>
      </c>
      <c r="J85" t="s">
        <v>62</v>
      </c>
      <c r="K85" t="s">
        <v>70</v>
      </c>
      <c r="L85" t="s">
        <v>72</v>
      </c>
      <c r="M85">
        <v>51346</v>
      </c>
      <c r="N85">
        <v>2</v>
      </c>
      <c r="O85" t="s">
        <v>73</v>
      </c>
      <c r="P85">
        <v>1</v>
      </c>
      <c r="Q85">
        <v>20220615</v>
      </c>
      <c r="R85" t="s">
        <v>93</v>
      </c>
      <c r="S85">
        <v>20220617</v>
      </c>
      <c r="T85" t="s">
        <v>210</v>
      </c>
      <c r="U85" t="s">
        <v>305</v>
      </c>
      <c r="V85">
        <v>1</v>
      </c>
      <c r="W85">
        <v>2</v>
      </c>
      <c r="X85">
        <v>63</v>
      </c>
      <c r="Y85">
        <v>52</v>
      </c>
      <c r="Z85">
        <v>126</v>
      </c>
    </row>
    <row r="86" spans="1:26" x14ac:dyDescent="0.25">
      <c r="A86">
        <v>114</v>
      </c>
      <c r="B86" t="s">
        <v>31</v>
      </c>
      <c r="C86" t="s">
        <v>40</v>
      </c>
      <c r="D86">
        <v>253</v>
      </c>
      <c r="E86" t="s">
        <v>47</v>
      </c>
      <c r="F86" t="s">
        <v>48</v>
      </c>
      <c r="G86" t="s">
        <v>52</v>
      </c>
      <c r="H86" t="s">
        <v>55</v>
      </c>
      <c r="I86">
        <v>1022</v>
      </c>
      <c r="J86" t="s">
        <v>65</v>
      </c>
      <c r="K86" t="s">
        <v>70</v>
      </c>
      <c r="L86" t="s">
        <v>71</v>
      </c>
      <c r="M86">
        <v>52944</v>
      </c>
      <c r="N86">
        <v>3</v>
      </c>
      <c r="O86" t="s">
        <v>73</v>
      </c>
      <c r="P86">
        <v>1</v>
      </c>
      <c r="Q86">
        <v>20240121</v>
      </c>
      <c r="R86" t="s">
        <v>127</v>
      </c>
      <c r="S86">
        <v>20240122</v>
      </c>
      <c r="T86" t="s">
        <v>211</v>
      </c>
      <c r="U86" t="s">
        <v>306</v>
      </c>
      <c r="V86">
        <v>1</v>
      </c>
      <c r="W86">
        <v>5</v>
      </c>
      <c r="X86">
        <v>253</v>
      </c>
      <c r="Y86">
        <v>238</v>
      </c>
      <c r="Z86">
        <v>1265</v>
      </c>
    </row>
    <row r="87" spans="1:26" x14ac:dyDescent="0.25">
      <c r="A87">
        <v>119</v>
      </c>
      <c r="B87" t="s">
        <v>29</v>
      </c>
      <c r="C87" t="s">
        <v>38</v>
      </c>
      <c r="D87">
        <v>282</v>
      </c>
      <c r="E87" t="s">
        <v>47</v>
      </c>
      <c r="F87" t="s">
        <v>49</v>
      </c>
      <c r="G87" t="s">
        <v>52</v>
      </c>
      <c r="H87" t="s">
        <v>56</v>
      </c>
      <c r="I87">
        <v>1022</v>
      </c>
      <c r="J87" t="s">
        <v>65</v>
      </c>
      <c r="K87" t="s">
        <v>70</v>
      </c>
      <c r="L87" t="s">
        <v>71</v>
      </c>
      <c r="M87">
        <v>52944</v>
      </c>
      <c r="N87">
        <v>3</v>
      </c>
      <c r="O87" t="s">
        <v>73</v>
      </c>
      <c r="P87">
        <v>1</v>
      </c>
      <c r="Q87">
        <v>20240306</v>
      </c>
      <c r="R87" t="s">
        <v>90</v>
      </c>
      <c r="S87">
        <v>20240308</v>
      </c>
      <c r="T87" t="s">
        <v>160</v>
      </c>
      <c r="U87" t="s">
        <v>307</v>
      </c>
      <c r="V87">
        <v>1</v>
      </c>
      <c r="W87">
        <v>4</v>
      </c>
      <c r="X87">
        <v>282</v>
      </c>
      <c r="Y87">
        <v>267</v>
      </c>
      <c r="Z87">
        <v>1128</v>
      </c>
    </row>
    <row r="88" spans="1:26" x14ac:dyDescent="0.25">
      <c r="A88">
        <v>118</v>
      </c>
      <c r="B88" t="s">
        <v>34</v>
      </c>
      <c r="C88" t="s">
        <v>43</v>
      </c>
      <c r="D88">
        <v>63</v>
      </c>
      <c r="E88" t="s">
        <v>44</v>
      </c>
      <c r="F88" t="s">
        <v>48</v>
      </c>
      <c r="G88" t="s">
        <v>51</v>
      </c>
      <c r="H88" t="s">
        <v>53</v>
      </c>
      <c r="I88">
        <v>1016</v>
      </c>
      <c r="J88" t="s">
        <v>68</v>
      </c>
      <c r="K88" t="s">
        <v>70</v>
      </c>
      <c r="L88" t="s">
        <v>72</v>
      </c>
      <c r="M88">
        <v>50603</v>
      </c>
      <c r="N88">
        <v>1</v>
      </c>
      <c r="O88" t="s">
        <v>74</v>
      </c>
      <c r="P88">
        <v>0</v>
      </c>
      <c r="Q88">
        <v>20220501</v>
      </c>
      <c r="R88" t="s">
        <v>81</v>
      </c>
      <c r="S88">
        <v>20220503</v>
      </c>
      <c r="T88" t="s">
        <v>212</v>
      </c>
      <c r="U88" t="s">
        <v>308</v>
      </c>
      <c r="V88">
        <v>1</v>
      </c>
      <c r="W88">
        <v>5</v>
      </c>
      <c r="X88">
        <v>63</v>
      </c>
      <c r="Y88">
        <v>56</v>
      </c>
      <c r="Z88">
        <v>315</v>
      </c>
    </row>
    <row r="89" spans="1:26" x14ac:dyDescent="0.25">
      <c r="A89">
        <v>118</v>
      </c>
      <c r="B89" t="s">
        <v>34</v>
      </c>
      <c r="C89" t="s">
        <v>43</v>
      </c>
      <c r="D89">
        <v>63</v>
      </c>
      <c r="E89" t="s">
        <v>44</v>
      </c>
      <c r="F89" t="s">
        <v>48</v>
      </c>
      <c r="G89" t="s">
        <v>51</v>
      </c>
      <c r="H89" t="s">
        <v>53</v>
      </c>
      <c r="I89">
        <v>1016</v>
      </c>
      <c r="J89" t="s">
        <v>68</v>
      </c>
      <c r="K89" t="s">
        <v>70</v>
      </c>
      <c r="L89" t="s">
        <v>72</v>
      </c>
      <c r="M89">
        <v>50603</v>
      </c>
      <c r="N89">
        <v>1</v>
      </c>
      <c r="O89" t="s">
        <v>74</v>
      </c>
      <c r="P89">
        <v>0</v>
      </c>
      <c r="Q89">
        <v>20250130</v>
      </c>
      <c r="R89" t="s">
        <v>121</v>
      </c>
      <c r="S89">
        <v>20250131</v>
      </c>
      <c r="T89" t="s">
        <v>192</v>
      </c>
      <c r="U89" t="s">
        <v>309</v>
      </c>
      <c r="V89">
        <v>1</v>
      </c>
      <c r="W89">
        <v>5</v>
      </c>
      <c r="X89">
        <v>63</v>
      </c>
      <c r="Y89">
        <v>48</v>
      </c>
      <c r="Z89">
        <v>315</v>
      </c>
    </row>
    <row r="90" spans="1:26" x14ac:dyDescent="0.25">
      <c r="A90">
        <v>128</v>
      </c>
      <c r="B90" t="s">
        <v>33</v>
      </c>
      <c r="C90" t="s">
        <v>42</v>
      </c>
      <c r="D90">
        <v>401</v>
      </c>
      <c r="E90" t="s">
        <v>47</v>
      </c>
      <c r="F90" t="s">
        <v>50</v>
      </c>
      <c r="G90" t="s">
        <v>52</v>
      </c>
      <c r="H90" t="s">
        <v>58</v>
      </c>
      <c r="I90">
        <v>1018</v>
      </c>
      <c r="J90" t="s">
        <v>64</v>
      </c>
      <c r="K90" t="s">
        <v>70</v>
      </c>
      <c r="L90" t="s">
        <v>71</v>
      </c>
      <c r="M90">
        <v>49779</v>
      </c>
      <c r="N90">
        <v>2</v>
      </c>
      <c r="O90" t="s">
        <v>74</v>
      </c>
      <c r="P90">
        <v>0</v>
      </c>
      <c r="Q90">
        <v>20220715</v>
      </c>
      <c r="R90" t="s">
        <v>131</v>
      </c>
      <c r="S90">
        <v>20220717</v>
      </c>
      <c r="T90" t="s">
        <v>213</v>
      </c>
      <c r="U90" t="s">
        <v>310</v>
      </c>
      <c r="V90">
        <v>1</v>
      </c>
      <c r="W90">
        <v>3</v>
      </c>
      <c r="X90">
        <v>401</v>
      </c>
      <c r="Y90">
        <v>395</v>
      </c>
      <c r="Z90">
        <v>1203</v>
      </c>
    </row>
    <row r="91" spans="1:26" x14ac:dyDescent="0.25">
      <c r="A91">
        <v>128</v>
      </c>
      <c r="B91" t="s">
        <v>33</v>
      </c>
      <c r="C91" t="s">
        <v>42</v>
      </c>
      <c r="D91">
        <v>401</v>
      </c>
      <c r="E91" t="s">
        <v>47</v>
      </c>
      <c r="F91" t="s">
        <v>50</v>
      </c>
      <c r="G91" t="s">
        <v>52</v>
      </c>
      <c r="H91" t="s">
        <v>58</v>
      </c>
      <c r="I91">
        <v>1049</v>
      </c>
      <c r="J91" t="s">
        <v>67</v>
      </c>
      <c r="K91" t="s">
        <v>70</v>
      </c>
      <c r="L91" t="s">
        <v>71</v>
      </c>
      <c r="M91">
        <v>37462</v>
      </c>
      <c r="N91">
        <v>2</v>
      </c>
      <c r="O91" t="s">
        <v>73</v>
      </c>
      <c r="P91">
        <v>0</v>
      </c>
      <c r="Q91">
        <v>20230411</v>
      </c>
      <c r="R91" t="s">
        <v>132</v>
      </c>
      <c r="S91">
        <v>20230413</v>
      </c>
      <c r="T91" t="s">
        <v>214</v>
      </c>
      <c r="U91" t="s">
        <v>311</v>
      </c>
      <c r="V91">
        <v>1</v>
      </c>
      <c r="W91">
        <v>4</v>
      </c>
      <c r="X91">
        <v>401</v>
      </c>
      <c r="Y91">
        <v>386</v>
      </c>
      <c r="Z91">
        <v>1604</v>
      </c>
    </row>
    <row r="92" spans="1:26" x14ac:dyDescent="0.25">
      <c r="A92">
        <v>119</v>
      </c>
      <c r="B92" t="s">
        <v>29</v>
      </c>
      <c r="C92" t="s">
        <v>38</v>
      </c>
      <c r="D92">
        <v>282</v>
      </c>
      <c r="E92" t="s">
        <v>47</v>
      </c>
      <c r="F92" t="s">
        <v>49</v>
      </c>
      <c r="G92" t="s">
        <v>52</v>
      </c>
      <c r="H92" t="s">
        <v>56</v>
      </c>
      <c r="I92">
        <v>1007</v>
      </c>
      <c r="J92" t="s">
        <v>66</v>
      </c>
      <c r="K92" t="s">
        <v>69</v>
      </c>
      <c r="L92" t="s">
        <v>72</v>
      </c>
      <c r="M92">
        <v>72282</v>
      </c>
      <c r="N92">
        <v>4</v>
      </c>
      <c r="O92" t="s">
        <v>73</v>
      </c>
      <c r="P92">
        <v>3</v>
      </c>
      <c r="Q92">
        <v>20241017</v>
      </c>
      <c r="R92" t="s">
        <v>107</v>
      </c>
      <c r="S92">
        <v>20241019</v>
      </c>
      <c r="T92" t="s">
        <v>171</v>
      </c>
      <c r="U92" t="s">
        <v>312</v>
      </c>
      <c r="V92">
        <v>1</v>
      </c>
      <c r="W92">
        <v>4</v>
      </c>
      <c r="X92">
        <v>282</v>
      </c>
      <c r="Y92">
        <v>275</v>
      </c>
      <c r="Z92">
        <v>1128</v>
      </c>
    </row>
    <row r="93" spans="1:26" x14ac:dyDescent="0.25">
      <c r="A93">
        <v>121</v>
      </c>
      <c r="B93" t="s">
        <v>30</v>
      </c>
      <c r="C93" t="s">
        <v>39</v>
      </c>
      <c r="D93">
        <v>215</v>
      </c>
      <c r="E93" t="s">
        <v>44</v>
      </c>
      <c r="F93" t="s">
        <v>50</v>
      </c>
      <c r="G93" t="s">
        <v>52</v>
      </c>
      <c r="H93" t="s">
        <v>55</v>
      </c>
      <c r="I93">
        <v>1014</v>
      </c>
      <c r="J93" t="s">
        <v>63</v>
      </c>
      <c r="K93" t="s">
        <v>70</v>
      </c>
      <c r="L93" t="s">
        <v>72</v>
      </c>
      <c r="M93">
        <v>38460</v>
      </c>
      <c r="N93">
        <v>0</v>
      </c>
      <c r="O93" t="s">
        <v>73</v>
      </c>
      <c r="P93">
        <v>0</v>
      </c>
      <c r="Q93">
        <v>20250415</v>
      </c>
      <c r="R93" t="s">
        <v>133</v>
      </c>
      <c r="S93">
        <v>20250418</v>
      </c>
      <c r="T93" t="s">
        <v>215</v>
      </c>
      <c r="U93" t="s">
        <v>313</v>
      </c>
      <c r="V93">
        <v>1</v>
      </c>
      <c r="W93">
        <v>5</v>
      </c>
      <c r="X93">
        <v>215</v>
      </c>
      <c r="Y93">
        <v>206</v>
      </c>
      <c r="Z93">
        <v>1075</v>
      </c>
    </row>
    <row r="94" spans="1:26" x14ac:dyDescent="0.25">
      <c r="A94">
        <v>119</v>
      </c>
      <c r="B94" t="s">
        <v>29</v>
      </c>
      <c r="C94" t="s">
        <v>38</v>
      </c>
      <c r="D94">
        <v>282</v>
      </c>
      <c r="E94" t="s">
        <v>47</v>
      </c>
      <c r="F94" t="s">
        <v>49</v>
      </c>
      <c r="G94" t="s">
        <v>52</v>
      </c>
      <c r="H94" t="s">
        <v>56</v>
      </c>
      <c r="I94">
        <v>1018</v>
      </c>
      <c r="J94" t="s">
        <v>64</v>
      </c>
      <c r="K94" t="s">
        <v>70</v>
      </c>
      <c r="L94" t="s">
        <v>71</v>
      </c>
      <c r="M94">
        <v>49779</v>
      </c>
      <c r="N94">
        <v>2</v>
      </c>
      <c r="O94" t="s">
        <v>74</v>
      </c>
      <c r="P94">
        <v>0</v>
      </c>
      <c r="Q94">
        <v>20241201</v>
      </c>
      <c r="R94" t="s">
        <v>134</v>
      </c>
      <c r="S94">
        <v>20241202</v>
      </c>
      <c r="T94" t="s">
        <v>216</v>
      </c>
      <c r="U94" t="s">
        <v>314</v>
      </c>
      <c r="V94">
        <v>1</v>
      </c>
      <c r="W94">
        <v>1</v>
      </c>
      <c r="X94">
        <v>282</v>
      </c>
      <c r="Y94">
        <v>276</v>
      </c>
      <c r="Z94">
        <v>282</v>
      </c>
    </row>
    <row r="95" spans="1:26" x14ac:dyDescent="0.25">
      <c r="A95">
        <v>114</v>
      </c>
      <c r="B95" t="s">
        <v>31</v>
      </c>
      <c r="C95" t="s">
        <v>40</v>
      </c>
      <c r="D95">
        <v>253</v>
      </c>
      <c r="E95" t="s">
        <v>47</v>
      </c>
      <c r="F95" t="s">
        <v>48</v>
      </c>
      <c r="G95" t="s">
        <v>52</v>
      </c>
      <c r="H95" t="s">
        <v>55</v>
      </c>
      <c r="I95">
        <v>1030</v>
      </c>
      <c r="J95" t="s">
        <v>62</v>
      </c>
      <c r="K95" t="s">
        <v>70</v>
      </c>
      <c r="L95" t="s">
        <v>72</v>
      </c>
      <c r="M95">
        <v>51346</v>
      </c>
      <c r="N95">
        <v>2</v>
      </c>
      <c r="O95" t="s">
        <v>73</v>
      </c>
      <c r="P95">
        <v>1</v>
      </c>
      <c r="Q95">
        <v>20250331</v>
      </c>
      <c r="R95" t="s">
        <v>124</v>
      </c>
      <c r="S95">
        <v>20250402</v>
      </c>
      <c r="T95" t="s">
        <v>217</v>
      </c>
      <c r="U95" t="s">
        <v>315</v>
      </c>
      <c r="V95">
        <v>1</v>
      </c>
      <c r="W95">
        <v>1</v>
      </c>
      <c r="X95">
        <v>253</v>
      </c>
      <c r="Y95">
        <v>246</v>
      </c>
      <c r="Z95">
        <v>253</v>
      </c>
    </row>
    <row r="96" spans="1:26" x14ac:dyDescent="0.25">
      <c r="A96">
        <v>118</v>
      </c>
      <c r="B96" t="s">
        <v>34</v>
      </c>
      <c r="C96" t="s">
        <v>43</v>
      </c>
      <c r="D96">
        <v>63</v>
      </c>
      <c r="E96" t="s">
        <v>44</v>
      </c>
      <c r="F96" t="s">
        <v>48</v>
      </c>
      <c r="G96" t="s">
        <v>51</v>
      </c>
      <c r="H96" t="s">
        <v>53</v>
      </c>
      <c r="I96">
        <v>1002</v>
      </c>
      <c r="J96" t="s">
        <v>61</v>
      </c>
      <c r="K96" t="s">
        <v>70</v>
      </c>
      <c r="L96" t="s">
        <v>72</v>
      </c>
      <c r="M96">
        <v>64715</v>
      </c>
      <c r="N96">
        <v>1</v>
      </c>
      <c r="O96" t="s">
        <v>74</v>
      </c>
      <c r="P96">
        <v>1</v>
      </c>
      <c r="Q96">
        <v>20221212</v>
      </c>
      <c r="R96" t="s">
        <v>117</v>
      </c>
      <c r="S96">
        <v>20221215</v>
      </c>
      <c r="T96" t="s">
        <v>218</v>
      </c>
      <c r="U96" t="s">
        <v>316</v>
      </c>
      <c r="V96">
        <v>1</v>
      </c>
      <c r="W96">
        <v>5</v>
      </c>
      <c r="X96">
        <v>63</v>
      </c>
      <c r="Y96">
        <v>57</v>
      </c>
      <c r="Z96">
        <v>315</v>
      </c>
    </row>
    <row r="97" spans="1:26" x14ac:dyDescent="0.25">
      <c r="A97">
        <v>141</v>
      </c>
      <c r="B97" t="s">
        <v>32</v>
      </c>
      <c r="C97" t="s">
        <v>41</v>
      </c>
      <c r="D97">
        <v>66</v>
      </c>
      <c r="E97" t="s">
        <v>44</v>
      </c>
      <c r="F97" t="s">
        <v>50</v>
      </c>
      <c r="G97" t="s">
        <v>51</v>
      </c>
      <c r="H97" t="s">
        <v>57</v>
      </c>
      <c r="I97">
        <v>1010</v>
      </c>
      <c r="J97" t="s">
        <v>59</v>
      </c>
      <c r="K97" t="s">
        <v>69</v>
      </c>
      <c r="L97" t="s">
        <v>71</v>
      </c>
      <c r="M97">
        <v>68571</v>
      </c>
      <c r="N97">
        <v>0</v>
      </c>
      <c r="O97" t="s">
        <v>73</v>
      </c>
      <c r="P97">
        <v>1</v>
      </c>
      <c r="Q97">
        <v>20220416</v>
      </c>
      <c r="R97" t="s">
        <v>79</v>
      </c>
      <c r="S97">
        <v>20220417</v>
      </c>
      <c r="T97" t="s">
        <v>219</v>
      </c>
      <c r="U97" t="s">
        <v>317</v>
      </c>
      <c r="V97">
        <v>1</v>
      </c>
      <c r="W97">
        <v>3</v>
      </c>
      <c r="X97">
        <v>66</v>
      </c>
      <c r="Y97">
        <v>55</v>
      </c>
      <c r="Z97">
        <v>198</v>
      </c>
    </row>
    <row r="98" spans="1:26" x14ac:dyDescent="0.25">
      <c r="A98">
        <v>144</v>
      </c>
      <c r="B98" t="s">
        <v>27</v>
      </c>
      <c r="C98" t="s">
        <v>36</v>
      </c>
      <c r="D98">
        <v>259</v>
      </c>
      <c r="E98" t="s">
        <v>45</v>
      </c>
      <c r="F98" t="s">
        <v>49</v>
      </c>
      <c r="G98" t="s">
        <v>51</v>
      </c>
      <c r="H98" t="s">
        <v>54</v>
      </c>
      <c r="I98">
        <v>1043</v>
      </c>
      <c r="J98" t="s">
        <v>60</v>
      </c>
      <c r="K98" t="s">
        <v>70</v>
      </c>
      <c r="L98" t="s">
        <v>72</v>
      </c>
      <c r="M98">
        <v>25072</v>
      </c>
      <c r="N98">
        <v>1</v>
      </c>
      <c r="O98" t="s">
        <v>73</v>
      </c>
      <c r="P98">
        <v>2</v>
      </c>
      <c r="Q98">
        <v>20240121</v>
      </c>
      <c r="R98" t="s">
        <v>127</v>
      </c>
      <c r="S98">
        <v>20240122</v>
      </c>
      <c r="T98" t="s">
        <v>211</v>
      </c>
      <c r="U98" t="s">
        <v>318</v>
      </c>
      <c r="V98">
        <v>1</v>
      </c>
      <c r="W98">
        <v>3</v>
      </c>
      <c r="X98">
        <v>259</v>
      </c>
      <c r="Y98">
        <v>248</v>
      </c>
      <c r="Z98">
        <v>777</v>
      </c>
    </row>
    <row r="99" spans="1:26" x14ac:dyDescent="0.25">
      <c r="A99">
        <v>112</v>
      </c>
      <c r="B99" t="s">
        <v>28</v>
      </c>
      <c r="C99" t="s">
        <v>37</v>
      </c>
      <c r="D99">
        <v>465</v>
      </c>
      <c r="E99" t="s">
        <v>46</v>
      </c>
      <c r="F99" t="s">
        <v>50</v>
      </c>
      <c r="G99" t="s">
        <v>52</v>
      </c>
      <c r="H99" t="s">
        <v>55</v>
      </c>
      <c r="I99">
        <v>1010</v>
      </c>
      <c r="J99" t="s">
        <v>59</v>
      </c>
      <c r="K99" t="s">
        <v>69</v>
      </c>
      <c r="L99" t="s">
        <v>71</v>
      </c>
      <c r="M99">
        <v>68571</v>
      </c>
      <c r="N99">
        <v>0</v>
      </c>
      <c r="O99" t="s">
        <v>73</v>
      </c>
      <c r="P99">
        <v>1</v>
      </c>
      <c r="Q99">
        <v>20220215</v>
      </c>
      <c r="R99" t="s">
        <v>105</v>
      </c>
      <c r="S99">
        <v>20220217</v>
      </c>
      <c r="T99" t="s">
        <v>220</v>
      </c>
      <c r="U99" t="s">
        <v>319</v>
      </c>
      <c r="V99">
        <v>1</v>
      </c>
      <c r="W99">
        <v>1</v>
      </c>
      <c r="X99">
        <v>465</v>
      </c>
      <c r="Y99">
        <v>452</v>
      </c>
      <c r="Z99">
        <v>465</v>
      </c>
    </row>
    <row r="100" spans="1:26" x14ac:dyDescent="0.25">
      <c r="A100">
        <v>112</v>
      </c>
      <c r="B100" t="s">
        <v>28</v>
      </c>
      <c r="C100" t="s">
        <v>37</v>
      </c>
      <c r="D100">
        <v>465</v>
      </c>
      <c r="E100" t="s">
        <v>46</v>
      </c>
      <c r="F100" t="s">
        <v>50</v>
      </c>
      <c r="G100" t="s">
        <v>52</v>
      </c>
      <c r="H100" t="s">
        <v>55</v>
      </c>
      <c r="I100">
        <v>1010</v>
      </c>
      <c r="J100" t="s">
        <v>59</v>
      </c>
      <c r="K100" t="s">
        <v>69</v>
      </c>
      <c r="L100" t="s">
        <v>71</v>
      </c>
      <c r="M100">
        <v>68571</v>
      </c>
      <c r="N100">
        <v>0</v>
      </c>
      <c r="O100" t="s">
        <v>73</v>
      </c>
      <c r="P100">
        <v>1</v>
      </c>
      <c r="Q100">
        <v>20240902</v>
      </c>
      <c r="R100" t="s">
        <v>110</v>
      </c>
      <c r="S100">
        <v>20240903</v>
      </c>
      <c r="T100" t="s">
        <v>202</v>
      </c>
      <c r="U100" t="s">
        <v>320</v>
      </c>
      <c r="V100">
        <v>1</v>
      </c>
      <c r="W100">
        <v>3</v>
      </c>
      <c r="X100">
        <v>465</v>
      </c>
      <c r="Y100">
        <v>459</v>
      </c>
      <c r="Z100">
        <v>1395</v>
      </c>
    </row>
    <row r="101" spans="1:26" x14ac:dyDescent="0.25">
      <c r="A101">
        <v>118</v>
      </c>
      <c r="B101" t="s">
        <v>34</v>
      </c>
      <c r="C101" t="s">
        <v>43</v>
      </c>
      <c r="D101">
        <v>63</v>
      </c>
      <c r="E101" t="s">
        <v>44</v>
      </c>
      <c r="F101" t="s">
        <v>48</v>
      </c>
      <c r="G101" t="s">
        <v>51</v>
      </c>
      <c r="H101" t="s">
        <v>53</v>
      </c>
      <c r="I101">
        <v>1030</v>
      </c>
      <c r="J101" t="s">
        <v>62</v>
      </c>
      <c r="K101" t="s">
        <v>70</v>
      </c>
      <c r="L101" t="s">
        <v>72</v>
      </c>
      <c r="M101">
        <v>51346</v>
      </c>
      <c r="N101">
        <v>2</v>
      </c>
      <c r="O101" t="s">
        <v>73</v>
      </c>
      <c r="P101">
        <v>1</v>
      </c>
      <c r="Q101">
        <v>20240803</v>
      </c>
      <c r="R101" t="s">
        <v>135</v>
      </c>
      <c r="S101">
        <v>20240805</v>
      </c>
      <c r="T101" t="s">
        <v>221</v>
      </c>
      <c r="U101" t="s">
        <v>321</v>
      </c>
      <c r="V101">
        <v>1</v>
      </c>
      <c r="W101">
        <v>1</v>
      </c>
      <c r="X101">
        <v>63</v>
      </c>
      <c r="Y101">
        <v>52</v>
      </c>
      <c r="Z101">
        <v>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D684-5BA2-4EA4-8067-9847D07092F9}">
  <dimension ref="B3:O7"/>
  <sheetViews>
    <sheetView workbookViewId="0">
      <selection activeCell="B3" sqref="B3"/>
    </sheetView>
  </sheetViews>
  <sheetFormatPr baseColWidth="10" defaultRowHeight="15" x14ac:dyDescent="0.25"/>
  <cols>
    <col min="2" max="2" width="17.5703125" bestFit="1" customWidth="1"/>
    <col min="3" max="3" width="22.42578125" bestFit="1" customWidth="1"/>
    <col min="4" max="4" width="7.7109375" bestFit="1" customWidth="1"/>
    <col min="5" max="5" width="6.42578125" bestFit="1" customWidth="1"/>
    <col min="6" max="6" width="6" bestFit="1" customWidth="1"/>
    <col min="7" max="7" width="5.85546875" bestFit="1" customWidth="1"/>
    <col min="8" max="8" width="6" bestFit="1" customWidth="1"/>
    <col min="9" max="9" width="5" bestFit="1" customWidth="1"/>
    <col min="10" max="10" width="6.85546875" bestFit="1" customWidth="1"/>
    <col min="11" max="11" width="11.28515625" bestFit="1" customWidth="1"/>
    <col min="12" max="12" width="7.85546875" bestFit="1" customWidth="1"/>
    <col min="13" max="13" width="10.7109375" bestFit="1" customWidth="1"/>
    <col min="14" max="14" width="10" bestFit="1" customWidth="1"/>
    <col min="15" max="15" width="12.5703125" bestFit="1" customWidth="1"/>
  </cols>
  <sheetData>
    <row r="3" spans="2:15" x14ac:dyDescent="0.25">
      <c r="B3" s="17" t="s">
        <v>342</v>
      </c>
      <c r="C3" s="17" t="s">
        <v>329</v>
      </c>
    </row>
    <row r="4" spans="2:15" x14ac:dyDescent="0.25">
      <c r="B4" s="17" t="s">
        <v>327</v>
      </c>
      <c r="C4" t="s">
        <v>330</v>
      </c>
      <c r="D4" t="s">
        <v>331</v>
      </c>
      <c r="E4" t="s">
        <v>332</v>
      </c>
      <c r="F4" t="s">
        <v>333</v>
      </c>
      <c r="G4" t="s">
        <v>334</v>
      </c>
      <c r="H4" t="s">
        <v>335</v>
      </c>
      <c r="I4" t="s">
        <v>336</v>
      </c>
      <c r="J4" t="s">
        <v>337</v>
      </c>
      <c r="K4" t="s">
        <v>338</v>
      </c>
      <c r="L4" t="s">
        <v>339</v>
      </c>
      <c r="M4" t="s">
        <v>340</v>
      </c>
      <c r="N4" t="s">
        <v>341</v>
      </c>
      <c r="O4" t="s">
        <v>328</v>
      </c>
    </row>
    <row r="5" spans="2:15" x14ac:dyDescent="0.25">
      <c r="B5" s="18" t="s">
        <v>51</v>
      </c>
      <c r="C5" s="19">
        <v>3222</v>
      </c>
      <c r="D5" s="19">
        <v>132</v>
      </c>
      <c r="E5" s="19">
        <v>2456</v>
      </c>
      <c r="F5" s="19">
        <v>1038</v>
      </c>
      <c r="G5" s="19">
        <v>1337</v>
      </c>
      <c r="H5" s="19">
        <v>2911</v>
      </c>
      <c r="I5" s="19"/>
      <c r="J5" s="19">
        <v>63</v>
      </c>
      <c r="K5" s="19">
        <v>1206</v>
      </c>
      <c r="L5" s="19">
        <v>261</v>
      </c>
      <c r="M5" s="19">
        <v>264</v>
      </c>
      <c r="N5" s="19">
        <v>1647</v>
      </c>
      <c r="O5" s="19">
        <v>14537</v>
      </c>
    </row>
    <row r="6" spans="2:15" x14ac:dyDescent="0.25">
      <c r="B6" s="18" t="s">
        <v>52</v>
      </c>
      <c r="C6" s="19">
        <v>2884</v>
      </c>
      <c r="D6" s="19">
        <v>5381</v>
      </c>
      <c r="E6" s="19">
        <v>4610</v>
      </c>
      <c r="F6" s="19">
        <v>11456</v>
      </c>
      <c r="G6" s="19">
        <v>3648</v>
      </c>
      <c r="H6" s="19">
        <v>9060</v>
      </c>
      <c r="I6" s="19">
        <v>5077</v>
      </c>
      <c r="J6" s="19">
        <v>215</v>
      </c>
      <c r="K6" s="19">
        <v>3494</v>
      </c>
      <c r="L6" s="19">
        <v>3813</v>
      </c>
      <c r="M6" s="19">
        <v>1410</v>
      </c>
      <c r="N6" s="19">
        <v>3962</v>
      </c>
      <c r="O6" s="19">
        <v>55010</v>
      </c>
    </row>
    <row r="7" spans="2:15" x14ac:dyDescent="0.25">
      <c r="B7" s="18" t="s">
        <v>328</v>
      </c>
      <c r="C7" s="19">
        <v>6106</v>
      </c>
      <c r="D7" s="19">
        <v>5513</v>
      </c>
      <c r="E7" s="19">
        <v>7066</v>
      </c>
      <c r="F7" s="19">
        <v>12494</v>
      </c>
      <c r="G7" s="19">
        <v>4985</v>
      </c>
      <c r="H7" s="19">
        <v>11971</v>
      </c>
      <c r="I7" s="19">
        <v>5077</v>
      </c>
      <c r="J7" s="19">
        <v>278</v>
      </c>
      <c r="K7" s="19">
        <v>4700</v>
      </c>
      <c r="L7" s="19">
        <v>4074</v>
      </c>
      <c r="M7" s="19">
        <v>1674</v>
      </c>
      <c r="N7" s="19">
        <v>5609</v>
      </c>
      <c r="O7" s="19">
        <v>69547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78B0-39F4-4950-AB56-B6E90E6F0889}">
  <dimension ref="B3:E15"/>
  <sheetViews>
    <sheetView workbookViewId="0">
      <selection activeCell="C7" sqref="C7"/>
    </sheetView>
  </sheetViews>
  <sheetFormatPr baseColWidth="10" defaultRowHeight="15" x14ac:dyDescent="0.25"/>
  <cols>
    <col min="2" max="2" width="17.5703125" bestFit="1" customWidth="1"/>
    <col min="3" max="3" width="22.42578125" bestFit="1" customWidth="1"/>
    <col min="4" max="4" width="6" bestFit="1" customWidth="1"/>
    <col min="5" max="5" width="12.5703125" bestFit="1" customWidth="1"/>
  </cols>
  <sheetData>
    <row r="3" spans="2:5" x14ac:dyDescent="0.25">
      <c r="B3" s="17" t="s">
        <v>342</v>
      </c>
      <c r="C3" s="17" t="s">
        <v>329</v>
      </c>
    </row>
    <row r="4" spans="2:5" x14ac:dyDescent="0.25">
      <c r="B4" s="17" t="s">
        <v>327</v>
      </c>
      <c r="C4" t="s">
        <v>72</v>
      </c>
      <c r="D4" t="s">
        <v>71</v>
      </c>
      <c r="E4" t="s">
        <v>328</v>
      </c>
    </row>
    <row r="5" spans="2:5" x14ac:dyDescent="0.25">
      <c r="B5" s="18">
        <v>1002</v>
      </c>
      <c r="C5" s="19">
        <v>7479</v>
      </c>
      <c r="D5" s="19"/>
      <c r="E5" s="19">
        <v>7479</v>
      </c>
    </row>
    <row r="6" spans="2:5" x14ac:dyDescent="0.25">
      <c r="B6" s="18">
        <v>1007</v>
      </c>
      <c r="C6" s="19">
        <v>9928</v>
      </c>
      <c r="D6" s="19"/>
      <c r="E6" s="19">
        <v>9928</v>
      </c>
    </row>
    <row r="7" spans="2:5" x14ac:dyDescent="0.25">
      <c r="B7" s="18">
        <v>1010</v>
      </c>
      <c r="C7" s="19"/>
      <c r="D7" s="19">
        <v>9447</v>
      </c>
      <c r="E7" s="19">
        <v>9447</v>
      </c>
    </row>
    <row r="8" spans="2:5" x14ac:dyDescent="0.25">
      <c r="B8" s="18">
        <v>1014</v>
      </c>
      <c r="C8" s="19">
        <v>4406</v>
      </c>
      <c r="D8" s="19"/>
      <c r="E8" s="19">
        <v>4406</v>
      </c>
    </row>
    <row r="9" spans="2:5" x14ac:dyDescent="0.25">
      <c r="B9" s="18">
        <v>1016</v>
      </c>
      <c r="C9" s="19">
        <v>2496</v>
      </c>
      <c r="D9" s="19"/>
      <c r="E9" s="19">
        <v>2496</v>
      </c>
    </row>
    <row r="10" spans="2:5" x14ac:dyDescent="0.25">
      <c r="B10" s="18">
        <v>1018</v>
      </c>
      <c r="C10" s="19"/>
      <c r="D10" s="19">
        <v>5617</v>
      </c>
      <c r="E10" s="19">
        <v>5617</v>
      </c>
    </row>
    <row r="11" spans="2:5" x14ac:dyDescent="0.25">
      <c r="B11" s="18">
        <v>1022</v>
      </c>
      <c r="C11" s="19"/>
      <c r="D11" s="19">
        <v>11656</v>
      </c>
      <c r="E11" s="19">
        <v>11656</v>
      </c>
    </row>
    <row r="12" spans="2:5" x14ac:dyDescent="0.25">
      <c r="B12" s="18">
        <v>1030</v>
      </c>
      <c r="C12" s="19">
        <v>5016</v>
      </c>
      <c r="D12" s="19"/>
      <c r="E12" s="19">
        <v>5016</v>
      </c>
    </row>
    <row r="13" spans="2:5" x14ac:dyDescent="0.25">
      <c r="B13" s="18">
        <v>1043</v>
      </c>
      <c r="C13" s="19">
        <v>9511</v>
      </c>
      <c r="D13" s="19"/>
      <c r="E13" s="19">
        <v>9511</v>
      </c>
    </row>
    <row r="14" spans="2:5" x14ac:dyDescent="0.25">
      <c r="B14" s="18">
        <v>1049</v>
      </c>
      <c r="C14" s="19"/>
      <c r="D14" s="19">
        <v>3991</v>
      </c>
      <c r="E14" s="19">
        <v>3991</v>
      </c>
    </row>
    <row r="15" spans="2:5" x14ac:dyDescent="0.25">
      <c r="B15" s="18" t="s">
        <v>328</v>
      </c>
      <c r="C15" s="19">
        <v>38836</v>
      </c>
      <c r="D15" s="19">
        <v>30711</v>
      </c>
      <c r="E15" s="19">
        <v>69547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FD13-4552-4E3D-813D-F4DC917841B9}">
  <dimension ref="B3:C13"/>
  <sheetViews>
    <sheetView tabSelected="1" workbookViewId="0">
      <selection activeCell="F24" sqref="F24"/>
    </sheetView>
  </sheetViews>
  <sheetFormatPr baseColWidth="10" defaultRowHeight="15" x14ac:dyDescent="0.25"/>
  <cols>
    <col min="2" max="2" width="17.5703125" bestFit="1" customWidth="1"/>
    <col min="3" max="3" width="18" bestFit="1" customWidth="1"/>
  </cols>
  <sheetData>
    <row r="3" spans="2:3" x14ac:dyDescent="0.25">
      <c r="B3" s="17" t="s">
        <v>327</v>
      </c>
      <c r="C3" t="s">
        <v>343</v>
      </c>
    </row>
    <row r="4" spans="2:3" x14ac:dyDescent="0.25">
      <c r="B4" s="18" t="s">
        <v>37</v>
      </c>
      <c r="C4" s="19">
        <v>34</v>
      </c>
    </row>
    <row r="5" spans="2:3" x14ac:dyDescent="0.25">
      <c r="B5" s="18" t="s">
        <v>40</v>
      </c>
      <c r="C5" s="19">
        <v>26</v>
      </c>
    </row>
    <row r="6" spans="2:3" x14ac:dyDescent="0.25">
      <c r="B6" s="18" t="s">
        <v>43</v>
      </c>
      <c r="C6" s="19">
        <v>39</v>
      </c>
    </row>
    <row r="7" spans="2:3" x14ac:dyDescent="0.25">
      <c r="B7" s="18" t="s">
        <v>38</v>
      </c>
      <c r="C7" s="19">
        <v>60</v>
      </c>
    </row>
    <row r="8" spans="2:3" x14ac:dyDescent="0.25">
      <c r="B8" s="18" t="s">
        <v>39</v>
      </c>
      <c r="C8" s="19">
        <v>32</v>
      </c>
    </row>
    <row r="9" spans="2:3" x14ac:dyDescent="0.25">
      <c r="B9" s="18" t="s">
        <v>42</v>
      </c>
      <c r="C9" s="19">
        <v>22</v>
      </c>
    </row>
    <row r="10" spans="2:3" x14ac:dyDescent="0.25">
      <c r="B10" s="18" t="s">
        <v>41</v>
      </c>
      <c r="C10" s="19">
        <v>41</v>
      </c>
    </row>
    <row r="11" spans="2:3" x14ac:dyDescent="0.25">
      <c r="B11" s="18" t="s">
        <v>36</v>
      </c>
      <c r="C11" s="19">
        <v>26</v>
      </c>
    </row>
    <row r="12" spans="2:3" x14ac:dyDescent="0.25">
      <c r="B12" s="18" t="s">
        <v>35</v>
      </c>
      <c r="C12" s="19">
        <v>16</v>
      </c>
    </row>
    <row r="13" spans="2:3" x14ac:dyDescent="0.25">
      <c r="B13" s="18" t="s">
        <v>328</v>
      </c>
      <c r="C13" s="19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9ABC-DCC0-4B83-B37F-C6A6DC945500}">
  <dimension ref="B3:C16"/>
  <sheetViews>
    <sheetView workbookViewId="0">
      <selection activeCell="H27" sqref="H27"/>
    </sheetView>
  </sheetViews>
  <sheetFormatPr baseColWidth="10" defaultRowHeight="15" x14ac:dyDescent="0.25"/>
  <cols>
    <col min="2" max="2" width="17.5703125" bestFit="1" customWidth="1"/>
    <col min="3" max="3" width="21.5703125" bestFit="1" customWidth="1"/>
  </cols>
  <sheetData>
    <row r="3" spans="2:3" x14ac:dyDescent="0.25">
      <c r="B3" s="17" t="s">
        <v>327</v>
      </c>
      <c r="C3" t="s">
        <v>344</v>
      </c>
    </row>
    <row r="4" spans="2:3" x14ac:dyDescent="0.25">
      <c r="B4" s="18" t="s">
        <v>330</v>
      </c>
      <c r="C4" s="19">
        <v>30</v>
      </c>
    </row>
    <row r="5" spans="2:3" x14ac:dyDescent="0.25">
      <c r="B5" s="18" t="s">
        <v>331</v>
      </c>
      <c r="C5" s="19">
        <v>25</v>
      </c>
    </row>
    <row r="6" spans="2:3" x14ac:dyDescent="0.25">
      <c r="B6" s="18" t="s">
        <v>332</v>
      </c>
      <c r="C6" s="19">
        <v>26</v>
      </c>
    </row>
    <row r="7" spans="2:3" x14ac:dyDescent="0.25">
      <c r="B7" s="18" t="s">
        <v>333</v>
      </c>
      <c r="C7" s="19">
        <v>37</v>
      </c>
    </row>
    <row r="8" spans="2:3" x14ac:dyDescent="0.25">
      <c r="B8" s="18" t="s">
        <v>334</v>
      </c>
      <c r="C8" s="19">
        <v>29</v>
      </c>
    </row>
    <row r="9" spans="2:3" x14ac:dyDescent="0.25">
      <c r="B9" s="18" t="s">
        <v>335</v>
      </c>
      <c r="C9" s="19">
        <v>47</v>
      </c>
    </row>
    <row r="10" spans="2:3" x14ac:dyDescent="0.25">
      <c r="B10" s="18" t="s">
        <v>336</v>
      </c>
      <c r="C10" s="19">
        <v>22</v>
      </c>
    </row>
    <row r="11" spans="2:3" x14ac:dyDescent="0.25">
      <c r="B11" s="18" t="s">
        <v>337</v>
      </c>
      <c r="C11" s="19">
        <v>5</v>
      </c>
    </row>
    <row r="12" spans="2:3" x14ac:dyDescent="0.25">
      <c r="B12" s="18" t="s">
        <v>338</v>
      </c>
      <c r="C12" s="19">
        <v>15</v>
      </c>
    </row>
    <row r="13" spans="2:3" x14ac:dyDescent="0.25">
      <c r="B13" s="18" t="s">
        <v>339</v>
      </c>
      <c r="C13" s="19">
        <v>18</v>
      </c>
    </row>
    <row r="14" spans="2:3" x14ac:dyDescent="0.25">
      <c r="B14" s="18" t="s">
        <v>340</v>
      </c>
      <c r="C14" s="19">
        <v>9</v>
      </c>
    </row>
    <row r="15" spans="2:3" x14ac:dyDescent="0.25">
      <c r="B15" s="18" t="s">
        <v>341</v>
      </c>
      <c r="C15" s="19">
        <v>33</v>
      </c>
    </row>
    <row r="16" spans="2:3" x14ac:dyDescent="0.25">
      <c r="B16" s="18" t="s">
        <v>328</v>
      </c>
      <c r="C16" s="19">
        <v>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8442-4790-4A68-B2A5-C7FF9A10CC58}">
  <dimension ref="B3:E8"/>
  <sheetViews>
    <sheetView workbookViewId="0">
      <selection activeCell="B3" sqref="B3"/>
    </sheetView>
  </sheetViews>
  <sheetFormatPr baseColWidth="10" defaultRowHeight="15" x14ac:dyDescent="0.25"/>
  <cols>
    <col min="2" max="2" width="17.5703125" bestFit="1" customWidth="1"/>
    <col min="3" max="3" width="22.42578125" bestFit="1" customWidth="1"/>
    <col min="4" max="4" width="6.42578125" bestFit="1" customWidth="1"/>
    <col min="5" max="5" width="12.5703125" bestFit="1" customWidth="1"/>
  </cols>
  <sheetData>
    <row r="3" spans="2:5" x14ac:dyDescent="0.25">
      <c r="B3" s="17" t="s">
        <v>342</v>
      </c>
      <c r="C3" s="17" t="s">
        <v>329</v>
      </c>
    </row>
    <row r="4" spans="2:5" x14ac:dyDescent="0.25">
      <c r="B4" s="17" t="s">
        <v>327</v>
      </c>
      <c r="C4" t="s">
        <v>70</v>
      </c>
      <c r="D4" t="s">
        <v>69</v>
      </c>
      <c r="E4" t="s">
        <v>328</v>
      </c>
    </row>
    <row r="5" spans="2:5" x14ac:dyDescent="0.25">
      <c r="B5" s="18" t="s">
        <v>49</v>
      </c>
      <c r="C5" s="19">
        <v>17047</v>
      </c>
      <c r="D5" s="19">
        <v>6607</v>
      </c>
      <c r="E5" s="19">
        <v>23654</v>
      </c>
    </row>
    <row r="6" spans="2:5" x14ac:dyDescent="0.25">
      <c r="B6" s="18" t="s">
        <v>50</v>
      </c>
      <c r="C6" s="19">
        <v>23714</v>
      </c>
      <c r="D6" s="19">
        <v>10504</v>
      </c>
      <c r="E6" s="19">
        <v>34218</v>
      </c>
    </row>
    <row r="7" spans="2:5" x14ac:dyDescent="0.25">
      <c r="B7" s="18" t="s">
        <v>48</v>
      </c>
      <c r="C7" s="19">
        <v>9411</v>
      </c>
      <c r="D7" s="19">
        <v>2264</v>
      </c>
      <c r="E7" s="19">
        <v>11675</v>
      </c>
    </row>
    <row r="8" spans="2:5" x14ac:dyDescent="0.25">
      <c r="B8" s="18" t="s">
        <v>328</v>
      </c>
      <c r="C8" s="19">
        <v>50172</v>
      </c>
      <c r="D8" s="19">
        <v>19375</v>
      </c>
      <c r="E8" s="19">
        <v>69547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8ADF-09DA-4DCC-927D-6CE1E96AE1FD}">
  <dimension ref="A1:J101"/>
  <sheetViews>
    <sheetView workbookViewId="0">
      <selection activeCell="A4" sqref="A4"/>
    </sheetView>
  </sheetViews>
  <sheetFormatPr baseColWidth="10" defaultRowHeight="15" x14ac:dyDescent="0.25"/>
  <cols>
    <col min="1" max="1" width="13.28515625" customWidth="1"/>
    <col min="2" max="2" width="15" customWidth="1"/>
    <col min="3" max="3" width="15.7109375" customWidth="1"/>
    <col min="4" max="4" width="14.42578125" customWidth="1"/>
    <col min="5" max="5" width="15.5703125" customWidth="1"/>
    <col min="6" max="6" width="19.28515625" customWidth="1"/>
    <col min="9" max="9" width="13.85546875" customWidth="1"/>
    <col min="10" max="10" width="14.85546875" customWidth="1"/>
  </cols>
  <sheetData>
    <row r="1" spans="1:10" x14ac:dyDescent="0.25">
      <c r="A1" s="2" t="s">
        <v>0</v>
      </c>
      <c r="B1" s="2" t="s">
        <v>8</v>
      </c>
      <c r="C1" s="2" t="s">
        <v>16</v>
      </c>
      <c r="D1" s="2" t="s">
        <v>18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3">
        <v>105</v>
      </c>
      <c r="B2" s="4">
        <v>1010</v>
      </c>
      <c r="C2" s="4">
        <v>20220131</v>
      </c>
      <c r="D2" s="4">
        <v>20220203</v>
      </c>
      <c r="E2" s="4" t="s">
        <v>222</v>
      </c>
      <c r="F2" s="4">
        <v>1</v>
      </c>
      <c r="G2" s="4">
        <v>2</v>
      </c>
      <c r="H2" s="4">
        <v>165</v>
      </c>
      <c r="I2" s="4">
        <v>159</v>
      </c>
      <c r="J2" s="9">
        <v>330</v>
      </c>
    </row>
    <row r="3" spans="1:10" x14ac:dyDescent="0.25">
      <c r="A3" s="5">
        <v>144</v>
      </c>
      <c r="B3" s="6">
        <v>1010</v>
      </c>
      <c r="C3" s="6">
        <v>20220928</v>
      </c>
      <c r="D3" s="6">
        <v>20221001</v>
      </c>
      <c r="E3" s="6" t="s">
        <v>223</v>
      </c>
      <c r="F3" s="6">
        <v>1</v>
      </c>
      <c r="G3" s="6">
        <v>3</v>
      </c>
      <c r="H3" s="6">
        <v>259</v>
      </c>
      <c r="I3" s="6">
        <v>251</v>
      </c>
      <c r="J3" s="10">
        <v>777</v>
      </c>
    </row>
    <row r="4" spans="1:10" x14ac:dyDescent="0.25">
      <c r="A4" s="3">
        <v>112</v>
      </c>
      <c r="B4" s="4">
        <v>1043</v>
      </c>
      <c r="C4" s="4">
        <v>20251027</v>
      </c>
      <c r="D4" s="4">
        <v>20251030</v>
      </c>
      <c r="E4" s="4" t="s">
        <v>224</v>
      </c>
      <c r="F4" s="4">
        <v>1</v>
      </c>
      <c r="G4" s="4">
        <v>1</v>
      </c>
      <c r="H4" s="4">
        <v>465</v>
      </c>
      <c r="I4" s="4">
        <v>452</v>
      </c>
      <c r="J4" s="9">
        <v>465</v>
      </c>
    </row>
    <row r="5" spans="1:10" x14ac:dyDescent="0.25">
      <c r="A5" s="5">
        <v>119</v>
      </c>
      <c r="B5" s="6">
        <v>1002</v>
      </c>
      <c r="C5" s="6">
        <v>20231207</v>
      </c>
      <c r="D5" s="6">
        <v>20231210</v>
      </c>
      <c r="E5" s="6" t="s">
        <v>225</v>
      </c>
      <c r="F5" s="6">
        <v>1</v>
      </c>
      <c r="G5" s="6">
        <v>5</v>
      </c>
      <c r="H5" s="6">
        <v>282</v>
      </c>
      <c r="I5" s="6">
        <v>273</v>
      </c>
      <c r="J5" s="10">
        <v>1410</v>
      </c>
    </row>
    <row r="6" spans="1:10" x14ac:dyDescent="0.25">
      <c r="A6" s="3">
        <v>121</v>
      </c>
      <c r="B6" s="4">
        <v>1043</v>
      </c>
      <c r="C6" s="4">
        <v>20220416</v>
      </c>
      <c r="D6" s="4">
        <v>20220418</v>
      </c>
      <c r="E6" s="4" t="s">
        <v>226</v>
      </c>
      <c r="F6" s="4">
        <v>1</v>
      </c>
      <c r="G6" s="4">
        <v>3</v>
      </c>
      <c r="H6" s="4">
        <v>215</v>
      </c>
      <c r="I6" s="4">
        <v>208</v>
      </c>
      <c r="J6" s="9">
        <v>645</v>
      </c>
    </row>
    <row r="7" spans="1:10" x14ac:dyDescent="0.25">
      <c r="A7" s="5">
        <v>114</v>
      </c>
      <c r="B7" s="6">
        <v>1030</v>
      </c>
      <c r="C7" s="6">
        <v>20240420</v>
      </c>
      <c r="D7" s="6">
        <v>20240423</v>
      </c>
      <c r="E7" s="6" t="s">
        <v>227</v>
      </c>
      <c r="F7" s="6">
        <v>1</v>
      </c>
      <c r="G7" s="6">
        <v>3</v>
      </c>
      <c r="H7" s="6">
        <v>253</v>
      </c>
      <c r="I7" s="6">
        <v>240</v>
      </c>
      <c r="J7" s="10">
        <v>759</v>
      </c>
    </row>
    <row r="8" spans="1:10" x14ac:dyDescent="0.25">
      <c r="A8" s="3">
        <v>112</v>
      </c>
      <c r="B8" s="4">
        <v>1043</v>
      </c>
      <c r="C8" s="4">
        <v>20220501</v>
      </c>
      <c r="D8" s="4">
        <v>20220504</v>
      </c>
      <c r="E8" s="4" t="s">
        <v>228</v>
      </c>
      <c r="F8" s="4">
        <v>1</v>
      </c>
      <c r="G8" s="4">
        <v>2</v>
      </c>
      <c r="H8" s="4">
        <v>465</v>
      </c>
      <c r="I8" s="4">
        <v>451</v>
      </c>
      <c r="J8" s="9">
        <v>930</v>
      </c>
    </row>
    <row r="9" spans="1:10" x14ac:dyDescent="0.25">
      <c r="A9" s="5">
        <v>119</v>
      </c>
      <c r="B9" s="6">
        <v>1043</v>
      </c>
      <c r="C9" s="6">
        <v>20240619</v>
      </c>
      <c r="D9" s="6">
        <v>20240621</v>
      </c>
      <c r="E9" s="6" t="s">
        <v>229</v>
      </c>
      <c r="F9" s="6">
        <v>1</v>
      </c>
      <c r="G9" s="6">
        <v>2</v>
      </c>
      <c r="H9" s="6">
        <v>282</v>
      </c>
      <c r="I9" s="6">
        <v>270</v>
      </c>
      <c r="J9" s="10">
        <v>564</v>
      </c>
    </row>
    <row r="10" spans="1:10" x14ac:dyDescent="0.25">
      <c r="A10" s="3">
        <v>119</v>
      </c>
      <c r="B10" s="4">
        <v>1014</v>
      </c>
      <c r="C10" s="4">
        <v>20220317</v>
      </c>
      <c r="D10" s="4">
        <v>20220320</v>
      </c>
      <c r="E10" s="4" t="s">
        <v>230</v>
      </c>
      <c r="F10" s="4">
        <v>1</v>
      </c>
      <c r="G10" s="4">
        <v>1</v>
      </c>
      <c r="H10" s="4">
        <v>282</v>
      </c>
      <c r="I10" s="4">
        <v>267</v>
      </c>
      <c r="J10" s="9">
        <v>282</v>
      </c>
    </row>
    <row r="11" spans="1:10" x14ac:dyDescent="0.25">
      <c r="A11" s="5">
        <v>141</v>
      </c>
      <c r="B11" s="6">
        <v>1018</v>
      </c>
      <c r="C11" s="6">
        <v>20230610</v>
      </c>
      <c r="D11" s="6">
        <v>20230613</v>
      </c>
      <c r="E11" s="6" t="s">
        <v>231</v>
      </c>
      <c r="F11" s="6">
        <v>1</v>
      </c>
      <c r="G11" s="6">
        <v>5</v>
      </c>
      <c r="H11" s="6">
        <v>66</v>
      </c>
      <c r="I11" s="6">
        <v>52</v>
      </c>
      <c r="J11" s="10">
        <v>330</v>
      </c>
    </row>
    <row r="12" spans="1:10" x14ac:dyDescent="0.25">
      <c r="A12" s="3">
        <v>114</v>
      </c>
      <c r="B12" s="4">
        <v>1030</v>
      </c>
      <c r="C12" s="4">
        <v>20230908</v>
      </c>
      <c r="D12" s="4">
        <v>20230909</v>
      </c>
      <c r="E12" s="4" t="s">
        <v>232</v>
      </c>
      <c r="F12" s="4">
        <v>1</v>
      </c>
      <c r="G12" s="4">
        <v>1</v>
      </c>
      <c r="H12" s="4">
        <v>253</v>
      </c>
      <c r="I12" s="4">
        <v>240</v>
      </c>
      <c r="J12" s="9">
        <v>253</v>
      </c>
    </row>
    <row r="13" spans="1:10" x14ac:dyDescent="0.25">
      <c r="A13" s="5">
        <v>128</v>
      </c>
      <c r="B13" s="6">
        <v>1010</v>
      </c>
      <c r="C13" s="6">
        <v>20240405</v>
      </c>
      <c r="D13" s="6">
        <v>20240406</v>
      </c>
      <c r="E13" s="6" t="s">
        <v>233</v>
      </c>
      <c r="F13" s="6">
        <v>1</v>
      </c>
      <c r="G13" s="6">
        <v>4</v>
      </c>
      <c r="H13" s="6">
        <v>401</v>
      </c>
      <c r="I13" s="6">
        <v>387</v>
      </c>
      <c r="J13" s="10">
        <v>1604</v>
      </c>
    </row>
    <row r="14" spans="1:10" x14ac:dyDescent="0.25">
      <c r="A14" s="3">
        <v>112</v>
      </c>
      <c r="B14" s="4">
        <v>1022</v>
      </c>
      <c r="C14" s="4">
        <v>20250430</v>
      </c>
      <c r="D14" s="4">
        <v>20250502</v>
      </c>
      <c r="E14" s="4" t="s">
        <v>234</v>
      </c>
      <c r="F14" s="4">
        <v>1</v>
      </c>
      <c r="G14" s="4">
        <v>4</v>
      </c>
      <c r="H14" s="4">
        <v>465</v>
      </c>
      <c r="I14" s="4">
        <v>459</v>
      </c>
      <c r="J14" s="9">
        <v>1860</v>
      </c>
    </row>
    <row r="15" spans="1:10" x14ac:dyDescent="0.25">
      <c r="A15" s="5">
        <v>119</v>
      </c>
      <c r="B15" s="6">
        <v>1030</v>
      </c>
      <c r="C15" s="6">
        <v>20250430</v>
      </c>
      <c r="D15" s="6">
        <v>20250503</v>
      </c>
      <c r="E15" s="6" t="s">
        <v>235</v>
      </c>
      <c r="F15" s="6">
        <v>1</v>
      </c>
      <c r="G15" s="6">
        <v>3</v>
      </c>
      <c r="H15" s="6">
        <v>282</v>
      </c>
      <c r="I15" s="6">
        <v>269</v>
      </c>
      <c r="J15" s="10">
        <v>846</v>
      </c>
    </row>
    <row r="16" spans="1:10" x14ac:dyDescent="0.25">
      <c r="A16" s="3">
        <v>112</v>
      </c>
      <c r="B16" s="4">
        <v>1002</v>
      </c>
      <c r="C16" s="4">
        <v>20240604</v>
      </c>
      <c r="D16" s="4">
        <v>20240606</v>
      </c>
      <c r="E16" s="4" t="s">
        <v>236</v>
      </c>
      <c r="F16" s="4">
        <v>1</v>
      </c>
      <c r="G16" s="4">
        <v>3</v>
      </c>
      <c r="H16" s="4">
        <v>465</v>
      </c>
      <c r="I16" s="4">
        <v>454</v>
      </c>
      <c r="J16" s="9">
        <v>1395</v>
      </c>
    </row>
    <row r="17" spans="1:10" x14ac:dyDescent="0.25">
      <c r="A17" s="5">
        <v>141</v>
      </c>
      <c r="B17" s="6">
        <v>1014</v>
      </c>
      <c r="C17" s="6">
        <v>20241116</v>
      </c>
      <c r="D17" s="6">
        <v>20241119</v>
      </c>
      <c r="E17" s="6" t="s">
        <v>237</v>
      </c>
      <c r="F17" s="6">
        <v>1</v>
      </c>
      <c r="G17" s="6">
        <v>4</v>
      </c>
      <c r="H17" s="6">
        <v>66</v>
      </c>
      <c r="I17" s="6">
        <v>58</v>
      </c>
      <c r="J17" s="10">
        <v>264</v>
      </c>
    </row>
    <row r="18" spans="1:10" x14ac:dyDescent="0.25">
      <c r="A18" s="3">
        <v>144</v>
      </c>
      <c r="B18" s="4">
        <v>1030</v>
      </c>
      <c r="C18" s="4">
        <v>20240306</v>
      </c>
      <c r="D18" s="4">
        <v>20240307</v>
      </c>
      <c r="E18" s="4" t="s">
        <v>238</v>
      </c>
      <c r="F18" s="4">
        <v>1</v>
      </c>
      <c r="G18" s="4">
        <v>1</v>
      </c>
      <c r="H18" s="4">
        <v>259</v>
      </c>
      <c r="I18" s="4">
        <v>253</v>
      </c>
      <c r="J18" s="9">
        <v>259</v>
      </c>
    </row>
    <row r="19" spans="1:10" x14ac:dyDescent="0.25">
      <c r="A19" s="5">
        <v>118</v>
      </c>
      <c r="B19" s="6">
        <v>1030</v>
      </c>
      <c r="C19" s="6">
        <v>20240505</v>
      </c>
      <c r="D19" s="6">
        <v>20240507</v>
      </c>
      <c r="E19" s="6" t="s">
        <v>239</v>
      </c>
      <c r="F19" s="6">
        <v>1</v>
      </c>
      <c r="G19" s="6">
        <v>3</v>
      </c>
      <c r="H19" s="6">
        <v>63</v>
      </c>
      <c r="I19" s="6">
        <v>55</v>
      </c>
      <c r="J19" s="10">
        <v>189</v>
      </c>
    </row>
    <row r="20" spans="1:10" x14ac:dyDescent="0.25">
      <c r="A20" s="3">
        <v>118</v>
      </c>
      <c r="B20" s="4">
        <v>1007</v>
      </c>
      <c r="C20" s="4">
        <v>20251211</v>
      </c>
      <c r="D20" s="4">
        <v>20251213</v>
      </c>
      <c r="E20" s="4" t="s">
        <v>240</v>
      </c>
      <c r="F20" s="4">
        <v>1</v>
      </c>
      <c r="G20" s="4">
        <v>3</v>
      </c>
      <c r="H20" s="4">
        <v>63</v>
      </c>
      <c r="I20" s="4">
        <v>48</v>
      </c>
      <c r="J20" s="9">
        <v>189</v>
      </c>
    </row>
    <row r="21" spans="1:10" x14ac:dyDescent="0.25">
      <c r="A21" s="5">
        <v>112</v>
      </c>
      <c r="B21" s="6">
        <v>1022</v>
      </c>
      <c r="C21" s="6">
        <v>20220615</v>
      </c>
      <c r="D21" s="6">
        <v>20220616</v>
      </c>
      <c r="E21" s="6" t="s">
        <v>241</v>
      </c>
      <c r="F21" s="6">
        <v>1</v>
      </c>
      <c r="G21" s="6">
        <v>5</v>
      </c>
      <c r="H21" s="6">
        <v>465</v>
      </c>
      <c r="I21" s="6">
        <v>451</v>
      </c>
      <c r="J21" s="10">
        <v>2325</v>
      </c>
    </row>
    <row r="22" spans="1:10" x14ac:dyDescent="0.25">
      <c r="A22" s="3">
        <v>144</v>
      </c>
      <c r="B22" s="4">
        <v>1010</v>
      </c>
      <c r="C22" s="4">
        <v>20220516</v>
      </c>
      <c r="D22" s="4">
        <v>20220518</v>
      </c>
      <c r="E22" s="4" t="s">
        <v>242</v>
      </c>
      <c r="F22" s="4">
        <v>1</v>
      </c>
      <c r="G22" s="4">
        <v>1</v>
      </c>
      <c r="H22" s="4">
        <v>259</v>
      </c>
      <c r="I22" s="4">
        <v>244</v>
      </c>
      <c r="J22" s="9">
        <v>259</v>
      </c>
    </row>
    <row r="23" spans="1:10" x14ac:dyDescent="0.25">
      <c r="A23" s="5">
        <v>118</v>
      </c>
      <c r="B23" s="6">
        <v>1043</v>
      </c>
      <c r="C23" s="6">
        <v>20221013</v>
      </c>
      <c r="D23" s="6">
        <v>20221014</v>
      </c>
      <c r="E23" s="6" t="s">
        <v>243</v>
      </c>
      <c r="F23" s="6">
        <v>1</v>
      </c>
      <c r="G23" s="6">
        <v>1</v>
      </c>
      <c r="H23" s="6">
        <v>63</v>
      </c>
      <c r="I23" s="6">
        <v>54</v>
      </c>
      <c r="J23" s="10">
        <v>63</v>
      </c>
    </row>
    <row r="24" spans="1:10" x14ac:dyDescent="0.25">
      <c r="A24" s="3">
        <v>141</v>
      </c>
      <c r="B24" s="4">
        <v>1030</v>
      </c>
      <c r="C24" s="4">
        <v>20220101</v>
      </c>
      <c r="D24" s="4">
        <v>20220102</v>
      </c>
      <c r="E24" s="4" t="s">
        <v>244</v>
      </c>
      <c r="F24" s="4">
        <v>1</v>
      </c>
      <c r="G24" s="4">
        <v>3</v>
      </c>
      <c r="H24" s="4">
        <v>66</v>
      </c>
      <c r="I24" s="4">
        <v>55</v>
      </c>
      <c r="J24" s="9">
        <v>198</v>
      </c>
    </row>
    <row r="25" spans="1:10" x14ac:dyDescent="0.25">
      <c r="A25" s="5">
        <v>141</v>
      </c>
      <c r="B25" s="6">
        <v>1010</v>
      </c>
      <c r="C25" s="6">
        <v>20220615</v>
      </c>
      <c r="D25" s="6">
        <v>20220618</v>
      </c>
      <c r="E25" s="6" t="s">
        <v>245</v>
      </c>
      <c r="F25" s="6">
        <v>1</v>
      </c>
      <c r="G25" s="6">
        <v>3</v>
      </c>
      <c r="H25" s="6">
        <v>66</v>
      </c>
      <c r="I25" s="6">
        <v>51</v>
      </c>
      <c r="J25" s="10">
        <v>198</v>
      </c>
    </row>
    <row r="26" spans="1:10" x14ac:dyDescent="0.25">
      <c r="A26" s="3">
        <v>141</v>
      </c>
      <c r="B26" s="4">
        <v>1002</v>
      </c>
      <c r="C26" s="4">
        <v>20240306</v>
      </c>
      <c r="D26" s="4">
        <v>20240308</v>
      </c>
      <c r="E26" s="4" t="s">
        <v>246</v>
      </c>
      <c r="F26" s="4">
        <v>1</v>
      </c>
      <c r="G26" s="4">
        <v>2</v>
      </c>
      <c r="H26" s="4">
        <v>66</v>
      </c>
      <c r="I26" s="4">
        <v>54</v>
      </c>
      <c r="J26" s="9">
        <v>132</v>
      </c>
    </row>
    <row r="27" spans="1:10" x14ac:dyDescent="0.25">
      <c r="A27" s="5">
        <v>141</v>
      </c>
      <c r="B27" s="6">
        <v>1043</v>
      </c>
      <c r="C27" s="6">
        <v>20220913</v>
      </c>
      <c r="D27" s="6">
        <v>20220916</v>
      </c>
      <c r="E27" s="6" t="s">
        <v>247</v>
      </c>
      <c r="F27" s="6">
        <v>1</v>
      </c>
      <c r="G27" s="6">
        <v>4</v>
      </c>
      <c r="H27" s="6">
        <v>66</v>
      </c>
      <c r="I27" s="6">
        <v>56</v>
      </c>
      <c r="J27" s="10">
        <v>264</v>
      </c>
    </row>
    <row r="28" spans="1:10" x14ac:dyDescent="0.25">
      <c r="A28" s="3">
        <v>121</v>
      </c>
      <c r="B28" s="4">
        <v>1043</v>
      </c>
      <c r="C28" s="4">
        <v>20230327</v>
      </c>
      <c r="D28" s="4">
        <v>20230328</v>
      </c>
      <c r="E28" s="4" t="s">
        <v>248</v>
      </c>
      <c r="F28" s="4">
        <v>1</v>
      </c>
      <c r="G28" s="4">
        <v>3</v>
      </c>
      <c r="H28" s="4">
        <v>215</v>
      </c>
      <c r="I28" s="4">
        <v>207</v>
      </c>
      <c r="J28" s="9">
        <v>645</v>
      </c>
    </row>
    <row r="29" spans="1:10" x14ac:dyDescent="0.25">
      <c r="A29" s="5">
        <v>119</v>
      </c>
      <c r="B29" s="6">
        <v>1049</v>
      </c>
      <c r="C29" s="6">
        <v>20220630</v>
      </c>
      <c r="D29" s="6">
        <v>20220703</v>
      </c>
      <c r="E29" s="6" t="s">
        <v>249</v>
      </c>
      <c r="F29" s="6">
        <v>1</v>
      </c>
      <c r="G29" s="6">
        <v>1</v>
      </c>
      <c r="H29" s="6">
        <v>282</v>
      </c>
      <c r="I29" s="6">
        <v>269</v>
      </c>
      <c r="J29" s="10">
        <v>282</v>
      </c>
    </row>
    <row r="30" spans="1:10" x14ac:dyDescent="0.25">
      <c r="A30" s="3">
        <v>121</v>
      </c>
      <c r="B30" s="4">
        <v>1049</v>
      </c>
      <c r="C30" s="4">
        <v>20251226</v>
      </c>
      <c r="D30" s="4">
        <v>20251228</v>
      </c>
      <c r="E30" s="4" t="s">
        <v>250</v>
      </c>
      <c r="F30" s="4">
        <v>1</v>
      </c>
      <c r="G30" s="4">
        <v>1</v>
      </c>
      <c r="H30" s="4">
        <v>215</v>
      </c>
      <c r="I30" s="4">
        <v>201</v>
      </c>
      <c r="J30" s="9">
        <v>215</v>
      </c>
    </row>
    <row r="31" spans="1:10" x14ac:dyDescent="0.25">
      <c r="A31" s="5">
        <v>141</v>
      </c>
      <c r="B31" s="6">
        <v>1014</v>
      </c>
      <c r="C31" s="6">
        <v>20250614</v>
      </c>
      <c r="D31" s="6">
        <v>20250616</v>
      </c>
      <c r="E31" s="6" t="s">
        <v>251</v>
      </c>
      <c r="F31" s="6">
        <v>1</v>
      </c>
      <c r="G31" s="6">
        <v>3</v>
      </c>
      <c r="H31" s="6">
        <v>66</v>
      </c>
      <c r="I31" s="6">
        <v>60</v>
      </c>
      <c r="J31" s="10">
        <v>198</v>
      </c>
    </row>
    <row r="32" spans="1:10" x14ac:dyDescent="0.25">
      <c r="A32" s="3">
        <v>144</v>
      </c>
      <c r="B32" s="4">
        <v>1043</v>
      </c>
      <c r="C32" s="4">
        <v>20240106</v>
      </c>
      <c r="D32" s="4">
        <v>20240107</v>
      </c>
      <c r="E32" s="4" t="s">
        <v>252</v>
      </c>
      <c r="F32" s="4">
        <v>1</v>
      </c>
      <c r="G32" s="4">
        <v>3</v>
      </c>
      <c r="H32" s="4">
        <v>259</v>
      </c>
      <c r="I32" s="4">
        <v>250</v>
      </c>
      <c r="J32" s="9">
        <v>777</v>
      </c>
    </row>
    <row r="33" spans="1:10" x14ac:dyDescent="0.25">
      <c r="A33" s="5">
        <v>112</v>
      </c>
      <c r="B33" s="6">
        <v>1007</v>
      </c>
      <c r="C33" s="6">
        <v>20230526</v>
      </c>
      <c r="D33" s="6">
        <v>20230527</v>
      </c>
      <c r="E33" s="6" t="s">
        <v>253</v>
      </c>
      <c r="F33" s="6">
        <v>1</v>
      </c>
      <c r="G33" s="6">
        <v>3</v>
      </c>
      <c r="H33" s="6">
        <v>465</v>
      </c>
      <c r="I33" s="6">
        <v>454</v>
      </c>
      <c r="J33" s="10">
        <v>1395</v>
      </c>
    </row>
    <row r="34" spans="1:10" x14ac:dyDescent="0.25">
      <c r="A34" s="3">
        <v>144</v>
      </c>
      <c r="B34" s="4">
        <v>1022</v>
      </c>
      <c r="C34" s="4">
        <v>20220531</v>
      </c>
      <c r="D34" s="4">
        <v>20220603</v>
      </c>
      <c r="E34" s="4" t="s">
        <v>254</v>
      </c>
      <c r="F34" s="4">
        <v>1</v>
      </c>
      <c r="G34" s="4">
        <v>1</v>
      </c>
      <c r="H34" s="4">
        <v>259</v>
      </c>
      <c r="I34" s="4">
        <v>245</v>
      </c>
      <c r="J34" s="9">
        <v>259</v>
      </c>
    </row>
    <row r="35" spans="1:10" x14ac:dyDescent="0.25">
      <c r="A35" s="5">
        <v>141</v>
      </c>
      <c r="B35" s="6">
        <v>1002</v>
      </c>
      <c r="C35" s="6">
        <v>20220215</v>
      </c>
      <c r="D35" s="6">
        <v>20220218</v>
      </c>
      <c r="E35" s="6" t="s">
        <v>255</v>
      </c>
      <c r="F35" s="6">
        <v>1</v>
      </c>
      <c r="G35" s="6">
        <v>2</v>
      </c>
      <c r="H35" s="6">
        <v>66</v>
      </c>
      <c r="I35" s="6">
        <v>54</v>
      </c>
      <c r="J35" s="10">
        <v>132</v>
      </c>
    </row>
    <row r="36" spans="1:10" x14ac:dyDescent="0.25">
      <c r="A36" s="3">
        <v>112</v>
      </c>
      <c r="B36" s="4">
        <v>1010</v>
      </c>
      <c r="C36" s="4">
        <v>20240220</v>
      </c>
      <c r="D36" s="4">
        <v>20240221</v>
      </c>
      <c r="E36" s="4" t="s">
        <v>256</v>
      </c>
      <c r="F36" s="4">
        <v>1</v>
      </c>
      <c r="G36" s="4">
        <v>3</v>
      </c>
      <c r="H36" s="4">
        <v>465</v>
      </c>
      <c r="I36" s="4">
        <v>459</v>
      </c>
      <c r="J36" s="9">
        <v>1395</v>
      </c>
    </row>
    <row r="37" spans="1:10" x14ac:dyDescent="0.25">
      <c r="A37" s="5">
        <v>141</v>
      </c>
      <c r="B37" s="6">
        <v>1014</v>
      </c>
      <c r="C37" s="6">
        <v>20250614</v>
      </c>
      <c r="D37" s="6">
        <v>20250616</v>
      </c>
      <c r="E37" s="6" t="s">
        <v>257</v>
      </c>
      <c r="F37" s="6">
        <v>1</v>
      </c>
      <c r="G37" s="6">
        <v>3</v>
      </c>
      <c r="H37" s="6">
        <v>66</v>
      </c>
      <c r="I37" s="6">
        <v>59</v>
      </c>
      <c r="J37" s="10">
        <v>198</v>
      </c>
    </row>
    <row r="38" spans="1:10" x14ac:dyDescent="0.25">
      <c r="A38" s="3">
        <v>121</v>
      </c>
      <c r="B38" s="4">
        <v>1007</v>
      </c>
      <c r="C38" s="4">
        <v>20241017</v>
      </c>
      <c r="D38" s="4">
        <v>20241019</v>
      </c>
      <c r="E38" s="4" t="s">
        <v>258</v>
      </c>
      <c r="F38" s="4">
        <v>1</v>
      </c>
      <c r="G38" s="4">
        <v>1</v>
      </c>
      <c r="H38" s="4">
        <v>215</v>
      </c>
      <c r="I38" s="4">
        <v>207</v>
      </c>
      <c r="J38" s="9">
        <v>215</v>
      </c>
    </row>
    <row r="39" spans="1:10" x14ac:dyDescent="0.25">
      <c r="A39" s="5">
        <v>118</v>
      </c>
      <c r="B39" s="6">
        <v>1018</v>
      </c>
      <c r="C39" s="6">
        <v>20230526</v>
      </c>
      <c r="D39" s="6">
        <v>20230529</v>
      </c>
      <c r="E39" s="6" t="s">
        <v>259</v>
      </c>
      <c r="F39" s="6">
        <v>1</v>
      </c>
      <c r="G39" s="6">
        <v>5</v>
      </c>
      <c r="H39" s="6">
        <v>63</v>
      </c>
      <c r="I39" s="6">
        <v>49</v>
      </c>
      <c r="J39" s="10">
        <v>315</v>
      </c>
    </row>
    <row r="40" spans="1:10" x14ac:dyDescent="0.25">
      <c r="A40" s="3">
        <v>144</v>
      </c>
      <c r="B40" s="4">
        <v>1018</v>
      </c>
      <c r="C40" s="4">
        <v>20250301</v>
      </c>
      <c r="D40" s="4">
        <v>20250302</v>
      </c>
      <c r="E40" s="4" t="s">
        <v>260</v>
      </c>
      <c r="F40" s="4">
        <v>1</v>
      </c>
      <c r="G40" s="4">
        <v>4</v>
      </c>
      <c r="H40" s="4">
        <v>259</v>
      </c>
      <c r="I40" s="4">
        <v>245</v>
      </c>
      <c r="J40" s="9">
        <v>1036</v>
      </c>
    </row>
    <row r="41" spans="1:10" x14ac:dyDescent="0.25">
      <c r="A41" s="5">
        <v>114</v>
      </c>
      <c r="B41" s="6">
        <v>1014</v>
      </c>
      <c r="C41" s="6">
        <v>20220302</v>
      </c>
      <c r="D41" s="6">
        <v>20220304</v>
      </c>
      <c r="E41" s="6" t="s">
        <v>261</v>
      </c>
      <c r="F41" s="6">
        <v>1</v>
      </c>
      <c r="G41" s="6">
        <v>1</v>
      </c>
      <c r="H41" s="6">
        <v>253</v>
      </c>
      <c r="I41" s="6">
        <v>238</v>
      </c>
      <c r="J41" s="10">
        <v>253</v>
      </c>
    </row>
    <row r="42" spans="1:10" x14ac:dyDescent="0.25">
      <c r="A42" s="3">
        <v>112</v>
      </c>
      <c r="B42" s="4">
        <v>1030</v>
      </c>
      <c r="C42" s="4">
        <v>20220913</v>
      </c>
      <c r="D42" s="4">
        <v>20220915</v>
      </c>
      <c r="E42" s="4" t="s">
        <v>262</v>
      </c>
      <c r="F42" s="4">
        <v>1</v>
      </c>
      <c r="G42" s="4">
        <v>1</v>
      </c>
      <c r="H42" s="4">
        <v>465</v>
      </c>
      <c r="I42" s="4">
        <v>457</v>
      </c>
      <c r="J42" s="9">
        <v>465</v>
      </c>
    </row>
    <row r="43" spans="1:10" x14ac:dyDescent="0.25">
      <c r="A43" s="5">
        <v>128</v>
      </c>
      <c r="B43" s="6">
        <v>1022</v>
      </c>
      <c r="C43" s="6">
        <v>20241017</v>
      </c>
      <c r="D43" s="6">
        <v>20241018</v>
      </c>
      <c r="E43" s="6" t="s">
        <v>263</v>
      </c>
      <c r="F43" s="6">
        <v>1</v>
      </c>
      <c r="G43" s="6">
        <v>5</v>
      </c>
      <c r="H43" s="6">
        <v>401</v>
      </c>
      <c r="I43" s="6">
        <v>386</v>
      </c>
      <c r="J43" s="10">
        <v>2005</v>
      </c>
    </row>
    <row r="44" spans="1:10" x14ac:dyDescent="0.25">
      <c r="A44" s="3">
        <v>114</v>
      </c>
      <c r="B44" s="4">
        <v>1049</v>
      </c>
      <c r="C44" s="4">
        <v>20240902</v>
      </c>
      <c r="D44" s="4">
        <v>20240905</v>
      </c>
      <c r="E44" s="4" t="s">
        <v>264</v>
      </c>
      <c r="F44" s="4">
        <v>1</v>
      </c>
      <c r="G44" s="4">
        <v>1</v>
      </c>
      <c r="H44" s="4">
        <v>253</v>
      </c>
      <c r="I44" s="4">
        <v>246</v>
      </c>
      <c r="J44" s="9">
        <v>253</v>
      </c>
    </row>
    <row r="45" spans="1:10" x14ac:dyDescent="0.25">
      <c r="A45" s="5">
        <v>119</v>
      </c>
      <c r="B45" s="6">
        <v>1022</v>
      </c>
      <c r="C45" s="6">
        <v>20221227</v>
      </c>
      <c r="D45" s="6">
        <v>20221228</v>
      </c>
      <c r="E45" s="6" t="s">
        <v>265</v>
      </c>
      <c r="F45" s="6">
        <v>1</v>
      </c>
      <c r="G45" s="6">
        <v>5</v>
      </c>
      <c r="H45" s="6">
        <v>282</v>
      </c>
      <c r="I45" s="6">
        <v>273</v>
      </c>
      <c r="J45" s="10">
        <v>1410</v>
      </c>
    </row>
    <row r="46" spans="1:10" x14ac:dyDescent="0.25">
      <c r="A46" s="3">
        <v>118</v>
      </c>
      <c r="B46" s="4">
        <v>1014</v>
      </c>
      <c r="C46" s="4">
        <v>20221227</v>
      </c>
      <c r="D46" s="4">
        <v>20221229</v>
      </c>
      <c r="E46" s="4" t="s">
        <v>266</v>
      </c>
      <c r="F46" s="4">
        <v>1</v>
      </c>
      <c r="G46" s="4">
        <v>4</v>
      </c>
      <c r="H46" s="4">
        <v>63</v>
      </c>
      <c r="I46" s="4">
        <v>58</v>
      </c>
      <c r="J46" s="9">
        <v>252</v>
      </c>
    </row>
    <row r="47" spans="1:10" x14ac:dyDescent="0.25">
      <c r="A47" s="5">
        <v>119</v>
      </c>
      <c r="B47" s="6">
        <v>1018</v>
      </c>
      <c r="C47" s="6">
        <v>20250912</v>
      </c>
      <c r="D47" s="6">
        <v>20250915</v>
      </c>
      <c r="E47" s="6" t="s">
        <v>267</v>
      </c>
      <c r="F47" s="6">
        <v>1</v>
      </c>
      <c r="G47" s="6">
        <v>4</v>
      </c>
      <c r="H47" s="6">
        <v>282</v>
      </c>
      <c r="I47" s="6">
        <v>267</v>
      </c>
      <c r="J47" s="10">
        <v>1128</v>
      </c>
    </row>
    <row r="48" spans="1:10" x14ac:dyDescent="0.25">
      <c r="A48" s="3">
        <v>121</v>
      </c>
      <c r="B48" s="4">
        <v>1043</v>
      </c>
      <c r="C48" s="4">
        <v>20220730</v>
      </c>
      <c r="D48" s="4">
        <v>20220731</v>
      </c>
      <c r="E48" s="4" t="s">
        <v>268</v>
      </c>
      <c r="F48" s="4">
        <v>1</v>
      </c>
      <c r="G48" s="4">
        <v>5</v>
      </c>
      <c r="H48" s="4">
        <v>215</v>
      </c>
      <c r="I48" s="4">
        <v>203</v>
      </c>
      <c r="J48" s="9">
        <v>1075</v>
      </c>
    </row>
    <row r="49" spans="1:10" x14ac:dyDescent="0.25">
      <c r="A49" s="5">
        <v>128</v>
      </c>
      <c r="B49" s="6">
        <v>1016</v>
      </c>
      <c r="C49" s="6">
        <v>20220401</v>
      </c>
      <c r="D49" s="6">
        <v>20220404</v>
      </c>
      <c r="E49" s="6" t="s">
        <v>269</v>
      </c>
      <c r="F49" s="6">
        <v>1</v>
      </c>
      <c r="G49" s="6">
        <v>3</v>
      </c>
      <c r="H49" s="6">
        <v>401</v>
      </c>
      <c r="I49" s="6">
        <v>387</v>
      </c>
      <c r="J49" s="10">
        <v>1203</v>
      </c>
    </row>
    <row r="50" spans="1:10" x14ac:dyDescent="0.25">
      <c r="A50" s="3">
        <v>121</v>
      </c>
      <c r="B50" s="4">
        <v>1043</v>
      </c>
      <c r="C50" s="4">
        <v>20220829</v>
      </c>
      <c r="D50" s="4">
        <v>20220831</v>
      </c>
      <c r="E50" s="4" t="s">
        <v>270</v>
      </c>
      <c r="F50" s="4">
        <v>1</v>
      </c>
      <c r="G50" s="4">
        <v>1</v>
      </c>
      <c r="H50" s="4">
        <v>215</v>
      </c>
      <c r="I50" s="4">
        <v>200</v>
      </c>
      <c r="J50" s="9">
        <v>215</v>
      </c>
    </row>
    <row r="51" spans="1:10" x14ac:dyDescent="0.25">
      <c r="A51" s="5">
        <v>118</v>
      </c>
      <c r="B51" s="6">
        <v>1007</v>
      </c>
      <c r="C51" s="6">
        <v>20250316</v>
      </c>
      <c r="D51" s="6">
        <v>20250317</v>
      </c>
      <c r="E51" s="6" t="s">
        <v>271</v>
      </c>
      <c r="F51" s="6">
        <v>1</v>
      </c>
      <c r="G51" s="6">
        <v>4</v>
      </c>
      <c r="H51" s="6">
        <v>63</v>
      </c>
      <c r="I51" s="6">
        <v>51</v>
      </c>
      <c r="J51" s="10">
        <v>252</v>
      </c>
    </row>
    <row r="52" spans="1:10" x14ac:dyDescent="0.25">
      <c r="A52" s="3">
        <v>141</v>
      </c>
      <c r="B52" s="4">
        <v>1007</v>
      </c>
      <c r="C52" s="4">
        <v>20221212</v>
      </c>
      <c r="D52" s="4">
        <v>20221214</v>
      </c>
      <c r="E52" s="4" t="s">
        <v>272</v>
      </c>
      <c r="F52" s="4">
        <v>1</v>
      </c>
      <c r="G52" s="4">
        <v>1</v>
      </c>
      <c r="H52" s="4">
        <v>66</v>
      </c>
      <c r="I52" s="4">
        <v>52</v>
      </c>
      <c r="J52" s="9">
        <v>66</v>
      </c>
    </row>
    <row r="53" spans="1:10" x14ac:dyDescent="0.25">
      <c r="A53" s="5">
        <v>119</v>
      </c>
      <c r="B53" s="6">
        <v>1007</v>
      </c>
      <c r="C53" s="6">
        <v>20240604</v>
      </c>
      <c r="D53" s="6">
        <v>20240605</v>
      </c>
      <c r="E53" s="6" t="s">
        <v>273</v>
      </c>
      <c r="F53" s="6">
        <v>1</v>
      </c>
      <c r="G53" s="6">
        <v>5</v>
      </c>
      <c r="H53" s="6">
        <v>282</v>
      </c>
      <c r="I53" s="6">
        <v>277</v>
      </c>
      <c r="J53" s="10">
        <v>1410</v>
      </c>
    </row>
    <row r="54" spans="1:10" x14ac:dyDescent="0.25">
      <c r="A54" s="3">
        <v>128</v>
      </c>
      <c r="B54" s="4">
        <v>1007</v>
      </c>
      <c r="C54" s="4">
        <v>20250301</v>
      </c>
      <c r="D54" s="4">
        <v>20250304</v>
      </c>
      <c r="E54" s="4" t="s">
        <v>274</v>
      </c>
      <c r="F54" s="4">
        <v>1</v>
      </c>
      <c r="G54" s="4">
        <v>3</v>
      </c>
      <c r="H54" s="4">
        <v>401</v>
      </c>
      <c r="I54" s="4">
        <v>390</v>
      </c>
      <c r="J54" s="9">
        <v>1203</v>
      </c>
    </row>
    <row r="55" spans="1:10" x14ac:dyDescent="0.25">
      <c r="A55" s="5">
        <v>141</v>
      </c>
      <c r="B55" s="6">
        <v>1016</v>
      </c>
      <c r="C55" s="6">
        <v>20241017</v>
      </c>
      <c r="D55" s="6">
        <v>20241019</v>
      </c>
      <c r="E55" s="6" t="s">
        <v>275</v>
      </c>
      <c r="F55" s="6">
        <v>1</v>
      </c>
      <c r="G55" s="6">
        <v>3</v>
      </c>
      <c r="H55" s="6">
        <v>66</v>
      </c>
      <c r="I55" s="6">
        <v>54</v>
      </c>
      <c r="J55" s="10">
        <v>198</v>
      </c>
    </row>
    <row r="56" spans="1:10" x14ac:dyDescent="0.25">
      <c r="A56" s="3">
        <v>119</v>
      </c>
      <c r="B56" s="4">
        <v>1002</v>
      </c>
      <c r="C56" s="4">
        <v>20241101</v>
      </c>
      <c r="D56" s="4">
        <v>20241104</v>
      </c>
      <c r="E56" s="4" t="s">
        <v>276</v>
      </c>
      <c r="F56" s="4">
        <v>1</v>
      </c>
      <c r="G56" s="4">
        <v>5</v>
      </c>
      <c r="H56" s="4">
        <v>282</v>
      </c>
      <c r="I56" s="4">
        <v>274</v>
      </c>
      <c r="J56" s="9">
        <v>1410</v>
      </c>
    </row>
    <row r="57" spans="1:10" x14ac:dyDescent="0.25">
      <c r="A57" s="5">
        <v>105</v>
      </c>
      <c r="B57" s="6">
        <v>1014</v>
      </c>
      <c r="C57" s="6">
        <v>20250629</v>
      </c>
      <c r="D57" s="6">
        <v>20250630</v>
      </c>
      <c r="E57" s="6" t="s">
        <v>277</v>
      </c>
      <c r="F57" s="6">
        <v>1</v>
      </c>
      <c r="G57" s="6">
        <v>5</v>
      </c>
      <c r="H57" s="6">
        <v>165</v>
      </c>
      <c r="I57" s="6">
        <v>155</v>
      </c>
      <c r="J57" s="10">
        <v>825</v>
      </c>
    </row>
    <row r="58" spans="1:10" x14ac:dyDescent="0.25">
      <c r="A58" s="3">
        <v>119</v>
      </c>
      <c r="B58" s="4">
        <v>1018</v>
      </c>
      <c r="C58" s="4">
        <v>20220630</v>
      </c>
      <c r="D58" s="4">
        <v>20220702</v>
      </c>
      <c r="E58" s="4" t="s">
        <v>278</v>
      </c>
      <c r="F58" s="4">
        <v>1</v>
      </c>
      <c r="G58" s="4">
        <v>2</v>
      </c>
      <c r="H58" s="4">
        <v>282</v>
      </c>
      <c r="I58" s="4">
        <v>268</v>
      </c>
      <c r="J58" s="9">
        <v>564</v>
      </c>
    </row>
    <row r="59" spans="1:10" x14ac:dyDescent="0.25">
      <c r="A59" s="5">
        <v>121</v>
      </c>
      <c r="B59" s="6">
        <v>1010</v>
      </c>
      <c r="C59" s="6">
        <v>20241231</v>
      </c>
      <c r="D59" s="6">
        <v>20250103</v>
      </c>
      <c r="E59" s="6" t="s">
        <v>279</v>
      </c>
      <c r="F59" s="6">
        <v>1</v>
      </c>
      <c r="G59" s="6">
        <v>3</v>
      </c>
      <c r="H59" s="6">
        <v>215</v>
      </c>
      <c r="I59" s="6">
        <v>201</v>
      </c>
      <c r="J59" s="10">
        <v>645</v>
      </c>
    </row>
    <row r="60" spans="1:10" x14ac:dyDescent="0.25">
      <c r="A60" s="3">
        <v>105</v>
      </c>
      <c r="B60" s="4">
        <v>1002</v>
      </c>
      <c r="C60" s="4">
        <v>20250130</v>
      </c>
      <c r="D60" s="4">
        <v>20250131</v>
      </c>
      <c r="E60" s="4" t="s">
        <v>280</v>
      </c>
      <c r="F60" s="4">
        <v>1</v>
      </c>
      <c r="G60" s="4">
        <v>5</v>
      </c>
      <c r="H60" s="4">
        <v>165</v>
      </c>
      <c r="I60" s="4">
        <v>160</v>
      </c>
      <c r="J60" s="9">
        <v>825</v>
      </c>
    </row>
    <row r="61" spans="1:10" x14ac:dyDescent="0.25">
      <c r="A61" s="5">
        <v>114</v>
      </c>
      <c r="B61" s="6">
        <v>1018</v>
      </c>
      <c r="C61" s="6">
        <v>20240505</v>
      </c>
      <c r="D61" s="6">
        <v>20240507</v>
      </c>
      <c r="E61" s="6" t="s">
        <v>281</v>
      </c>
      <c r="F61" s="6">
        <v>1</v>
      </c>
      <c r="G61" s="6">
        <v>3</v>
      </c>
      <c r="H61" s="6">
        <v>253</v>
      </c>
      <c r="I61" s="6">
        <v>243</v>
      </c>
      <c r="J61" s="10">
        <v>759</v>
      </c>
    </row>
    <row r="62" spans="1:10" x14ac:dyDescent="0.25">
      <c r="A62" s="3">
        <v>114</v>
      </c>
      <c r="B62" s="4">
        <v>1007</v>
      </c>
      <c r="C62" s="4">
        <v>20220215</v>
      </c>
      <c r="D62" s="4">
        <v>20220218</v>
      </c>
      <c r="E62" s="4" t="s">
        <v>282</v>
      </c>
      <c r="F62" s="4">
        <v>1</v>
      </c>
      <c r="G62" s="4">
        <v>4</v>
      </c>
      <c r="H62" s="4">
        <v>253</v>
      </c>
      <c r="I62" s="4">
        <v>239</v>
      </c>
      <c r="J62" s="9">
        <v>1012</v>
      </c>
    </row>
    <row r="63" spans="1:10" x14ac:dyDescent="0.25">
      <c r="A63" s="5">
        <v>119</v>
      </c>
      <c r="B63" s="6">
        <v>1043</v>
      </c>
      <c r="C63" s="6">
        <v>20220630</v>
      </c>
      <c r="D63" s="6">
        <v>20220701</v>
      </c>
      <c r="E63" s="6" t="s">
        <v>283</v>
      </c>
      <c r="F63" s="6">
        <v>1</v>
      </c>
      <c r="G63" s="6">
        <v>4</v>
      </c>
      <c r="H63" s="6">
        <v>282</v>
      </c>
      <c r="I63" s="6">
        <v>267</v>
      </c>
      <c r="J63" s="10">
        <v>1128</v>
      </c>
    </row>
    <row r="64" spans="1:10" x14ac:dyDescent="0.25">
      <c r="A64" s="3">
        <v>112</v>
      </c>
      <c r="B64" s="4">
        <v>1007</v>
      </c>
      <c r="C64" s="4">
        <v>20220730</v>
      </c>
      <c r="D64" s="4">
        <v>20220801</v>
      </c>
      <c r="E64" s="4" t="s">
        <v>284</v>
      </c>
      <c r="F64" s="4">
        <v>1</v>
      </c>
      <c r="G64" s="4">
        <v>3</v>
      </c>
      <c r="H64" s="4">
        <v>465</v>
      </c>
      <c r="I64" s="4">
        <v>459</v>
      </c>
      <c r="J64" s="9">
        <v>1395</v>
      </c>
    </row>
    <row r="65" spans="1:10" x14ac:dyDescent="0.25">
      <c r="A65" s="5">
        <v>119</v>
      </c>
      <c r="B65" s="6">
        <v>1007</v>
      </c>
      <c r="C65" s="6">
        <v>20230210</v>
      </c>
      <c r="D65" s="6">
        <v>20230213</v>
      </c>
      <c r="E65" s="6" t="s">
        <v>285</v>
      </c>
      <c r="F65" s="6">
        <v>1</v>
      </c>
      <c r="G65" s="6">
        <v>5</v>
      </c>
      <c r="H65" s="6">
        <v>282</v>
      </c>
      <c r="I65" s="6">
        <v>268</v>
      </c>
      <c r="J65" s="10">
        <v>1410</v>
      </c>
    </row>
    <row r="66" spans="1:10" x14ac:dyDescent="0.25">
      <c r="A66" s="3">
        <v>105</v>
      </c>
      <c r="B66" s="4">
        <v>1014</v>
      </c>
      <c r="C66" s="4">
        <v>20221227</v>
      </c>
      <c r="D66" s="4">
        <v>20221228</v>
      </c>
      <c r="E66" s="4" t="s">
        <v>286</v>
      </c>
      <c r="F66" s="4">
        <v>1</v>
      </c>
      <c r="G66" s="4">
        <v>3</v>
      </c>
      <c r="H66" s="4">
        <v>165</v>
      </c>
      <c r="I66" s="4">
        <v>156</v>
      </c>
      <c r="J66" s="9">
        <v>495</v>
      </c>
    </row>
    <row r="67" spans="1:10" x14ac:dyDescent="0.25">
      <c r="A67" s="5">
        <v>118</v>
      </c>
      <c r="B67" s="6">
        <v>1010</v>
      </c>
      <c r="C67" s="6">
        <v>20240420</v>
      </c>
      <c r="D67" s="6">
        <v>20240423</v>
      </c>
      <c r="E67" s="6" t="s">
        <v>287</v>
      </c>
      <c r="F67" s="6">
        <v>1</v>
      </c>
      <c r="G67" s="6">
        <v>1</v>
      </c>
      <c r="H67" s="6">
        <v>63</v>
      </c>
      <c r="I67" s="6">
        <v>49</v>
      </c>
      <c r="J67" s="10">
        <v>63</v>
      </c>
    </row>
    <row r="68" spans="1:10" x14ac:dyDescent="0.25">
      <c r="A68" s="3">
        <v>121</v>
      </c>
      <c r="B68" s="4">
        <v>1022</v>
      </c>
      <c r="C68" s="4">
        <v>20230625</v>
      </c>
      <c r="D68" s="4">
        <v>20230627</v>
      </c>
      <c r="E68" s="4" t="s">
        <v>288</v>
      </c>
      <c r="F68" s="4">
        <v>1</v>
      </c>
      <c r="G68" s="4">
        <v>3</v>
      </c>
      <c r="H68" s="4">
        <v>215</v>
      </c>
      <c r="I68" s="4">
        <v>206</v>
      </c>
      <c r="J68" s="9">
        <v>645</v>
      </c>
    </row>
    <row r="69" spans="1:10" x14ac:dyDescent="0.25">
      <c r="A69" s="5">
        <v>112</v>
      </c>
      <c r="B69" s="6">
        <v>1002</v>
      </c>
      <c r="C69" s="6">
        <v>20240405</v>
      </c>
      <c r="D69" s="6">
        <v>20240406</v>
      </c>
      <c r="E69" s="6" t="s">
        <v>289</v>
      </c>
      <c r="F69" s="6">
        <v>1</v>
      </c>
      <c r="G69" s="6">
        <v>4</v>
      </c>
      <c r="H69" s="6">
        <v>465</v>
      </c>
      <c r="I69" s="6">
        <v>460</v>
      </c>
      <c r="J69" s="10">
        <v>1860</v>
      </c>
    </row>
    <row r="70" spans="1:10" x14ac:dyDescent="0.25">
      <c r="A70" s="3">
        <v>119</v>
      </c>
      <c r="B70" s="4">
        <v>1043</v>
      </c>
      <c r="C70" s="4">
        <v>20250629</v>
      </c>
      <c r="D70" s="4">
        <v>20250701</v>
      </c>
      <c r="E70" s="4" t="s">
        <v>290</v>
      </c>
      <c r="F70" s="4">
        <v>1</v>
      </c>
      <c r="G70" s="4">
        <v>1</v>
      </c>
      <c r="H70" s="4">
        <v>282</v>
      </c>
      <c r="I70" s="4">
        <v>275</v>
      </c>
      <c r="J70" s="9">
        <v>282</v>
      </c>
    </row>
    <row r="71" spans="1:10" x14ac:dyDescent="0.25">
      <c r="A71" s="5">
        <v>119</v>
      </c>
      <c r="B71" s="6">
        <v>1010</v>
      </c>
      <c r="C71" s="6">
        <v>20250331</v>
      </c>
      <c r="D71" s="6">
        <v>20250403</v>
      </c>
      <c r="E71" s="6" t="s">
        <v>291</v>
      </c>
      <c r="F71" s="6">
        <v>1</v>
      </c>
      <c r="G71" s="6">
        <v>3</v>
      </c>
      <c r="H71" s="6">
        <v>282</v>
      </c>
      <c r="I71" s="6">
        <v>271</v>
      </c>
      <c r="J71" s="10">
        <v>846</v>
      </c>
    </row>
    <row r="72" spans="1:10" x14ac:dyDescent="0.25">
      <c r="A72" s="3">
        <v>114</v>
      </c>
      <c r="B72" s="4">
        <v>1022</v>
      </c>
      <c r="C72" s="4">
        <v>20240704</v>
      </c>
      <c r="D72" s="4">
        <v>20240707</v>
      </c>
      <c r="E72" s="4" t="s">
        <v>292</v>
      </c>
      <c r="F72" s="4">
        <v>1</v>
      </c>
      <c r="G72" s="4">
        <v>3</v>
      </c>
      <c r="H72" s="4">
        <v>253</v>
      </c>
      <c r="I72" s="4">
        <v>239</v>
      </c>
      <c r="J72" s="9">
        <v>759</v>
      </c>
    </row>
    <row r="73" spans="1:10" x14ac:dyDescent="0.25">
      <c r="A73" s="5">
        <v>141</v>
      </c>
      <c r="B73" s="6">
        <v>1010</v>
      </c>
      <c r="C73" s="6">
        <v>20251211</v>
      </c>
      <c r="D73" s="6">
        <v>20251213</v>
      </c>
      <c r="E73" s="6" t="s">
        <v>293</v>
      </c>
      <c r="F73" s="6">
        <v>1</v>
      </c>
      <c r="G73" s="6">
        <v>5</v>
      </c>
      <c r="H73" s="6">
        <v>66</v>
      </c>
      <c r="I73" s="6">
        <v>56</v>
      </c>
      <c r="J73" s="10">
        <v>330</v>
      </c>
    </row>
    <row r="74" spans="1:10" x14ac:dyDescent="0.25">
      <c r="A74" s="3">
        <v>144</v>
      </c>
      <c r="B74" s="4">
        <v>1049</v>
      </c>
      <c r="C74" s="4">
        <v>20240405</v>
      </c>
      <c r="D74" s="4">
        <v>20240408</v>
      </c>
      <c r="E74" s="4" t="s">
        <v>294</v>
      </c>
      <c r="F74" s="4">
        <v>1</v>
      </c>
      <c r="G74" s="4">
        <v>3</v>
      </c>
      <c r="H74" s="4">
        <v>259</v>
      </c>
      <c r="I74" s="4">
        <v>244</v>
      </c>
      <c r="J74" s="9">
        <v>777</v>
      </c>
    </row>
    <row r="75" spans="1:10" x14ac:dyDescent="0.25">
      <c r="A75" s="5">
        <v>119</v>
      </c>
      <c r="B75" s="6">
        <v>1014</v>
      </c>
      <c r="C75" s="6">
        <v>20250530</v>
      </c>
      <c r="D75" s="6">
        <v>20250602</v>
      </c>
      <c r="E75" s="6" t="s">
        <v>295</v>
      </c>
      <c r="F75" s="6">
        <v>1</v>
      </c>
      <c r="G75" s="6">
        <v>2</v>
      </c>
      <c r="H75" s="6">
        <v>282</v>
      </c>
      <c r="I75" s="6">
        <v>272</v>
      </c>
      <c r="J75" s="10">
        <v>564</v>
      </c>
    </row>
    <row r="76" spans="1:10" x14ac:dyDescent="0.25">
      <c r="A76" s="3">
        <v>105</v>
      </c>
      <c r="B76" s="4">
        <v>1010</v>
      </c>
      <c r="C76" s="4">
        <v>20240902</v>
      </c>
      <c r="D76" s="4">
        <v>20240903</v>
      </c>
      <c r="E76" s="4" t="s">
        <v>296</v>
      </c>
      <c r="F76" s="4">
        <v>1</v>
      </c>
      <c r="G76" s="4">
        <v>1</v>
      </c>
      <c r="H76" s="4">
        <v>165</v>
      </c>
      <c r="I76" s="4">
        <v>150</v>
      </c>
      <c r="J76" s="9">
        <v>165</v>
      </c>
    </row>
    <row r="77" spans="1:10" x14ac:dyDescent="0.25">
      <c r="A77" s="5">
        <v>114</v>
      </c>
      <c r="B77" s="6">
        <v>1030</v>
      </c>
      <c r="C77" s="6">
        <v>20240121</v>
      </c>
      <c r="D77" s="6">
        <v>20240123</v>
      </c>
      <c r="E77" s="6" t="s">
        <v>297</v>
      </c>
      <c r="F77" s="6">
        <v>1</v>
      </c>
      <c r="G77" s="6">
        <v>3</v>
      </c>
      <c r="H77" s="6">
        <v>253</v>
      </c>
      <c r="I77" s="6">
        <v>242</v>
      </c>
      <c r="J77" s="10">
        <v>759</v>
      </c>
    </row>
    <row r="78" spans="1:10" x14ac:dyDescent="0.25">
      <c r="A78" s="3">
        <v>119</v>
      </c>
      <c r="B78" s="4">
        <v>1030</v>
      </c>
      <c r="C78" s="4">
        <v>20230225</v>
      </c>
      <c r="D78" s="4">
        <v>20230228</v>
      </c>
      <c r="E78" s="4" t="s">
        <v>298</v>
      </c>
      <c r="F78" s="4">
        <v>1</v>
      </c>
      <c r="G78" s="4">
        <v>3</v>
      </c>
      <c r="H78" s="4">
        <v>282</v>
      </c>
      <c r="I78" s="4">
        <v>276</v>
      </c>
      <c r="J78" s="9">
        <v>846</v>
      </c>
    </row>
    <row r="79" spans="1:10" x14ac:dyDescent="0.25">
      <c r="A79" s="5">
        <v>114</v>
      </c>
      <c r="B79" s="6">
        <v>1007</v>
      </c>
      <c r="C79" s="6">
        <v>20240205</v>
      </c>
      <c r="D79" s="6">
        <v>20240208</v>
      </c>
      <c r="E79" s="6" t="s">
        <v>299</v>
      </c>
      <c r="F79" s="6">
        <v>1</v>
      </c>
      <c r="G79" s="6">
        <v>1</v>
      </c>
      <c r="H79" s="6">
        <v>253</v>
      </c>
      <c r="I79" s="6">
        <v>248</v>
      </c>
      <c r="J79" s="10">
        <v>253</v>
      </c>
    </row>
    <row r="80" spans="1:10" x14ac:dyDescent="0.25">
      <c r="A80" s="3">
        <v>121</v>
      </c>
      <c r="B80" s="4">
        <v>1049</v>
      </c>
      <c r="C80" s="4">
        <v>20250130</v>
      </c>
      <c r="D80" s="4">
        <v>20250202</v>
      </c>
      <c r="E80" s="4" t="s">
        <v>300</v>
      </c>
      <c r="F80" s="4">
        <v>1</v>
      </c>
      <c r="G80" s="4">
        <v>4</v>
      </c>
      <c r="H80" s="4">
        <v>215</v>
      </c>
      <c r="I80" s="4">
        <v>207</v>
      </c>
      <c r="J80" s="9">
        <v>860</v>
      </c>
    </row>
    <row r="81" spans="1:10" x14ac:dyDescent="0.25">
      <c r="A81" s="5">
        <v>112</v>
      </c>
      <c r="B81" s="6">
        <v>1016</v>
      </c>
      <c r="C81" s="6">
        <v>20250614</v>
      </c>
      <c r="D81" s="6">
        <v>20250615</v>
      </c>
      <c r="E81" s="6" t="s">
        <v>301</v>
      </c>
      <c r="F81" s="6">
        <v>1</v>
      </c>
      <c r="G81" s="6">
        <v>1</v>
      </c>
      <c r="H81" s="6">
        <v>465</v>
      </c>
      <c r="I81" s="6">
        <v>451</v>
      </c>
      <c r="J81" s="10">
        <v>465</v>
      </c>
    </row>
    <row r="82" spans="1:10" x14ac:dyDescent="0.25">
      <c r="A82" s="3">
        <v>144</v>
      </c>
      <c r="B82" s="4">
        <v>1043</v>
      </c>
      <c r="C82" s="4">
        <v>20220615</v>
      </c>
      <c r="D82" s="4">
        <v>20220618</v>
      </c>
      <c r="E82" s="4" t="s">
        <v>302</v>
      </c>
      <c r="F82" s="4">
        <v>1</v>
      </c>
      <c r="G82" s="4">
        <v>4</v>
      </c>
      <c r="H82" s="4">
        <v>259</v>
      </c>
      <c r="I82" s="4">
        <v>244</v>
      </c>
      <c r="J82" s="9">
        <v>1036</v>
      </c>
    </row>
    <row r="83" spans="1:10" x14ac:dyDescent="0.25">
      <c r="A83" s="5">
        <v>144</v>
      </c>
      <c r="B83" s="6">
        <v>1010</v>
      </c>
      <c r="C83" s="6">
        <v>20220302</v>
      </c>
      <c r="D83" s="6">
        <v>20220303</v>
      </c>
      <c r="E83" s="6" t="s">
        <v>303</v>
      </c>
      <c r="F83" s="6">
        <v>1</v>
      </c>
      <c r="G83" s="6">
        <v>3</v>
      </c>
      <c r="H83" s="6">
        <v>259</v>
      </c>
      <c r="I83" s="6">
        <v>246</v>
      </c>
      <c r="J83" s="10">
        <v>777</v>
      </c>
    </row>
    <row r="84" spans="1:10" x14ac:dyDescent="0.25">
      <c r="A84" s="3">
        <v>121</v>
      </c>
      <c r="B84" s="4">
        <v>1043</v>
      </c>
      <c r="C84" s="4">
        <v>20230710</v>
      </c>
      <c r="D84" s="4">
        <v>20230712</v>
      </c>
      <c r="E84" s="4" t="s">
        <v>304</v>
      </c>
      <c r="F84" s="4">
        <v>1</v>
      </c>
      <c r="G84" s="4">
        <v>3</v>
      </c>
      <c r="H84" s="4">
        <v>215</v>
      </c>
      <c r="I84" s="4">
        <v>206</v>
      </c>
      <c r="J84" s="9">
        <v>645</v>
      </c>
    </row>
    <row r="85" spans="1:10" x14ac:dyDescent="0.25">
      <c r="A85" s="5">
        <v>118</v>
      </c>
      <c r="B85" s="6">
        <v>1030</v>
      </c>
      <c r="C85" s="6">
        <v>20220615</v>
      </c>
      <c r="D85" s="6">
        <v>20220617</v>
      </c>
      <c r="E85" s="6" t="s">
        <v>305</v>
      </c>
      <c r="F85" s="6">
        <v>1</v>
      </c>
      <c r="G85" s="6">
        <v>2</v>
      </c>
      <c r="H85" s="6">
        <v>63</v>
      </c>
      <c r="I85" s="6">
        <v>52</v>
      </c>
      <c r="J85" s="10">
        <v>126</v>
      </c>
    </row>
    <row r="86" spans="1:10" x14ac:dyDescent="0.25">
      <c r="A86" s="3">
        <v>114</v>
      </c>
      <c r="B86" s="4">
        <v>1022</v>
      </c>
      <c r="C86" s="4">
        <v>20240121</v>
      </c>
      <c r="D86" s="4">
        <v>20240122</v>
      </c>
      <c r="E86" s="4" t="s">
        <v>306</v>
      </c>
      <c r="F86" s="4">
        <v>1</v>
      </c>
      <c r="G86" s="4">
        <v>5</v>
      </c>
      <c r="H86" s="4">
        <v>253</v>
      </c>
      <c r="I86" s="4">
        <v>238</v>
      </c>
      <c r="J86" s="9">
        <v>1265</v>
      </c>
    </row>
    <row r="87" spans="1:10" x14ac:dyDescent="0.25">
      <c r="A87" s="5">
        <v>119</v>
      </c>
      <c r="B87" s="6">
        <v>1022</v>
      </c>
      <c r="C87" s="6">
        <v>20240306</v>
      </c>
      <c r="D87" s="6">
        <v>20240308</v>
      </c>
      <c r="E87" s="6" t="s">
        <v>307</v>
      </c>
      <c r="F87" s="6">
        <v>1</v>
      </c>
      <c r="G87" s="6">
        <v>4</v>
      </c>
      <c r="H87" s="6">
        <v>282</v>
      </c>
      <c r="I87" s="6">
        <v>267</v>
      </c>
      <c r="J87" s="10">
        <v>1128</v>
      </c>
    </row>
    <row r="88" spans="1:10" x14ac:dyDescent="0.25">
      <c r="A88" s="3">
        <v>118</v>
      </c>
      <c r="B88" s="4">
        <v>1016</v>
      </c>
      <c r="C88" s="4">
        <v>20220501</v>
      </c>
      <c r="D88" s="4">
        <v>20220503</v>
      </c>
      <c r="E88" s="4" t="s">
        <v>308</v>
      </c>
      <c r="F88" s="4">
        <v>1</v>
      </c>
      <c r="G88" s="4">
        <v>5</v>
      </c>
      <c r="H88" s="4">
        <v>63</v>
      </c>
      <c r="I88" s="4">
        <v>56</v>
      </c>
      <c r="J88" s="9">
        <v>315</v>
      </c>
    </row>
    <row r="89" spans="1:10" x14ac:dyDescent="0.25">
      <c r="A89" s="5">
        <v>118</v>
      </c>
      <c r="B89" s="6">
        <v>1016</v>
      </c>
      <c r="C89" s="6">
        <v>20250130</v>
      </c>
      <c r="D89" s="6">
        <v>20250131</v>
      </c>
      <c r="E89" s="6" t="s">
        <v>309</v>
      </c>
      <c r="F89" s="6">
        <v>1</v>
      </c>
      <c r="G89" s="6">
        <v>5</v>
      </c>
      <c r="H89" s="6">
        <v>63</v>
      </c>
      <c r="I89" s="6">
        <v>48</v>
      </c>
      <c r="J89" s="10">
        <v>315</v>
      </c>
    </row>
    <row r="90" spans="1:10" x14ac:dyDescent="0.25">
      <c r="A90" s="3">
        <v>128</v>
      </c>
      <c r="B90" s="4">
        <v>1018</v>
      </c>
      <c r="C90" s="4">
        <v>20220715</v>
      </c>
      <c r="D90" s="4">
        <v>20220717</v>
      </c>
      <c r="E90" s="4" t="s">
        <v>310</v>
      </c>
      <c r="F90" s="4">
        <v>1</v>
      </c>
      <c r="G90" s="4">
        <v>3</v>
      </c>
      <c r="H90" s="4">
        <v>401</v>
      </c>
      <c r="I90" s="4">
        <v>395</v>
      </c>
      <c r="J90" s="9">
        <v>1203</v>
      </c>
    </row>
    <row r="91" spans="1:10" x14ac:dyDescent="0.25">
      <c r="A91" s="5">
        <v>128</v>
      </c>
      <c r="B91" s="6">
        <v>1049</v>
      </c>
      <c r="C91" s="6">
        <v>20230411</v>
      </c>
      <c r="D91" s="6">
        <v>20230413</v>
      </c>
      <c r="E91" s="6" t="s">
        <v>311</v>
      </c>
      <c r="F91" s="6">
        <v>1</v>
      </c>
      <c r="G91" s="6">
        <v>4</v>
      </c>
      <c r="H91" s="6">
        <v>401</v>
      </c>
      <c r="I91" s="6">
        <v>386</v>
      </c>
      <c r="J91" s="10">
        <v>1604</v>
      </c>
    </row>
    <row r="92" spans="1:10" x14ac:dyDescent="0.25">
      <c r="A92" s="3">
        <v>119</v>
      </c>
      <c r="B92" s="4">
        <v>1007</v>
      </c>
      <c r="C92" s="4">
        <v>20241017</v>
      </c>
      <c r="D92" s="4">
        <v>20241019</v>
      </c>
      <c r="E92" s="4" t="s">
        <v>312</v>
      </c>
      <c r="F92" s="4">
        <v>1</v>
      </c>
      <c r="G92" s="4">
        <v>4</v>
      </c>
      <c r="H92" s="4">
        <v>282</v>
      </c>
      <c r="I92" s="4">
        <v>275</v>
      </c>
      <c r="J92" s="9">
        <v>1128</v>
      </c>
    </row>
    <row r="93" spans="1:10" x14ac:dyDescent="0.25">
      <c r="A93" s="5">
        <v>121</v>
      </c>
      <c r="B93" s="6">
        <v>1014</v>
      </c>
      <c r="C93" s="6">
        <v>20250415</v>
      </c>
      <c r="D93" s="6">
        <v>20250418</v>
      </c>
      <c r="E93" s="6" t="s">
        <v>313</v>
      </c>
      <c r="F93" s="6">
        <v>1</v>
      </c>
      <c r="G93" s="6">
        <v>5</v>
      </c>
      <c r="H93" s="6">
        <v>215</v>
      </c>
      <c r="I93" s="6">
        <v>206</v>
      </c>
      <c r="J93" s="10">
        <v>1075</v>
      </c>
    </row>
    <row r="94" spans="1:10" x14ac:dyDescent="0.25">
      <c r="A94" s="3">
        <v>119</v>
      </c>
      <c r="B94" s="4">
        <v>1018</v>
      </c>
      <c r="C94" s="4">
        <v>20241201</v>
      </c>
      <c r="D94" s="4">
        <v>20241202</v>
      </c>
      <c r="E94" s="4" t="s">
        <v>314</v>
      </c>
      <c r="F94" s="4">
        <v>1</v>
      </c>
      <c r="G94" s="4">
        <v>1</v>
      </c>
      <c r="H94" s="4">
        <v>282</v>
      </c>
      <c r="I94" s="4">
        <v>276</v>
      </c>
      <c r="J94" s="9">
        <v>282</v>
      </c>
    </row>
    <row r="95" spans="1:10" x14ac:dyDescent="0.25">
      <c r="A95" s="5">
        <v>114</v>
      </c>
      <c r="B95" s="6">
        <v>1030</v>
      </c>
      <c r="C95" s="6">
        <v>20250331</v>
      </c>
      <c r="D95" s="6">
        <v>20250402</v>
      </c>
      <c r="E95" s="6" t="s">
        <v>315</v>
      </c>
      <c r="F95" s="6">
        <v>1</v>
      </c>
      <c r="G95" s="6">
        <v>1</v>
      </c>
      <c r="H95" s="6">
        <v>253</v>
      </c>
      <c r="I95" s="6">
        <v>246</v>
      </c>
      <c r="J95" s="10">
        <v>253</v>
      </c>
    </row>
    <row r="96" spans="1:10" x14ac:dyDescent="0.25">
      <c r="A96" s="3">
        <v>118</v>
      </c>
      <c r="B96" s="4">
        <v>1002</v>
      </c>
      <c r="C96" s="4">
        <v>20221212</v>
      </c>
      <c r="D96" s="4">
        <v>20221215</v>
      </c>
      <c r="E96" s="4" t="s">
        <v>316</v>
      </c>
      <c r="F96" s="4">
        <v>1</v>
      </c>
      <c r="G96" s="4">
        <v>5</v>
      </c>
      <c r="H96" s="4">
        <v>63</v>
      </c>
      <c r="I96" s="4">
        <v>57</v>
      </c>
      <c r="J96" s="9">
        <v>315</v>
      </c>
    </row>
    <row r="97" spans="1:10" x14ac:dyDescent="0.25">
      <c r="A97" s="5">
        <v>141</v>
      </c>
      <c r="B97" s="6">
        <v>1010</v>
      </c>
      <c r="C97" s="6">
        <v>20220416</v>
      </c>
      <c r="D97" s="6">
        <v>20220417</v>
      </c>
      <c r="E97" s="6" t="s">
        <v>317</v>
      </c>
      <c r="F97" s="6">
        <v>1</v>
      </c>
      <c r="G97" s="6">
        <v>3</v>
      </c>
      <c r="H97" s="6">
        <v>66</v>
      </c>
      <c r="I97" s="6">
        <v>55</v>
      </c>
      <c r="J97" s="10">
        <v>198</v>
      </c>
    </row>
    <row r="98" spans="1:10" x14ac:dyDescent="0.25">
      <c r="A98" s="3">
        <v>144</v>
      </c>
      <c r="B98" s="4">
        <v>1043</v>
      </c>
      <c r="C98" s="4">
        <v>20240121</v>
      </c>
      <c r="D98" s="4">
        <v>20240122</v>
      </c>
      <c r="E98" s="4" t="s">
        <v>318</v>
      </c>
      <c r="F98" s="4">
        <v>1</v>
      </c>
      <c r="G98" s="4">
        <v>3</v>
      </c>
      <c r="H98" s="4">
        <v>259</v>
      </c>
      <c r="I98" s="4">
        <v>248</v>
      </c>
      <c r="J98" s="9">
        <v>777</v>
      </c>
    </row>
    <row r="99" spans="1:10" x14ac:dyDescent="0.25">
      <c r="A99" s="5">
        <v>112</v>
      </c>
      <c r="B99" s="6">
        <v>1010</v>
      </c>
      <c r="C99" s="6">
        <v>20220215</v>
      </c>
      <c r="D99" s="6">
        <v>20220217</v>
      </c>
      <c r="E99" s="6" t="s">
        <v>319</v>
      </c>
      <c r="F99" s="6">
        <v>1</v>
      </c>
      <c r="G99" s="6">
        <v>1</v>
      </c>
      <c r="H99" s="6">
        <v>465</v>
      </c>
      <c r="I99" s="6">
        <v>452</v>
      </c>
      <c r="J99" s="10">
        <v>465</v>
      </c>
    </row>
    <row r="100" spans="1:10" x14ac:dyDescent="0.25">
      <c r="A100" s="3">
        <v>112</v>
      </c>
      <c r="B100" s="4">
        <v>1010</v>
      </c>
      <c r="C100" s="4">
        <v>20240902</v>
      </c>
      <c r="D100" s="4">
        <v>20240903</v>
      </c>
      <c r="E100" s="4" t="s">
        <v>320</v>
      </c>
      <c r="F100" s="4">
        <v>1</v>
      </c>
      <c r="G100" s="4">
        <v>3</v>
      </c>
      <c r="H100" s="4">
        <v>465</v>
      </c>
      <c r="I100" s="4">
        <v>459</v>
      </c>
      <c r="J100" s="9">
        <v>1395</v>
      </c>
    </row>
    <row r="101" spans="1:10" x14ac:dyDescent="0.25">
      <c r="A101" s="7">
        <v>118</v>
      </c>
      <c r="B101" s="8">
        <v>1030</v>
      </c>
      <c r="C101" s="8">
        <v>20240803</v>
      </c>
      <c r="D101" s="8">
        <v>20240805</v>
      </c>
      <c r="E101" s="8" t="s">
        <v>321</v>
      </c>
      <c r="F101" s="8">
        <v>1</v>
      </c>
      <c r="G101" s="8">
        <v>1</v>
      </c>
      <c r="H101" s="8">
        <v>63</v>
      </c>
      <c r="I101" s="8">
        <v>52</v>
      </c>
      <c r="J101" s="11">
        <v>63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52CF-DC87-42D3-ACA4-7930162F6484}">
  <dimension ref="A1:H10"/>
  <sheetViews>
    <sheetView workbookViewId="0"/>
  </sheetViews>
  <sheetFormatPr baseColWidth="10" defaultRowHeight="15" x14ac:dyDescent="0.25"/>
  <cols>
    <col min="1" max="1" width="13.28515625" customWidth="1"/>
    <col min="2" max="2" width="15" customWidth="1"/>
    <col min="3" max="3" width="15.7109375" customWidth="1"/>
    <col min="8" max="8" width="1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105</v>
      </c>
      <c r="B2" s="4" t="s">
        <v>26</v>
      </c>
      <c r="C2" s="4" t="s">
        <v>35</v>
      </c>
      <c r="D2" s="4">
        <v>165</v>
      </c>
      <c r="E2" s="4" t="s">
        <v>44</v>
      </c>
      <c r="F2" s="4" t="s">
        <v>48</v>
      </c>
      <c r="G2" s="4" t="s">
        <v>51</v>
      </c>
      <c r="H2" s="4" t="s">
        <v>53</v>
      </c>
    </row>
    <row r="3" spans="1:8" x14ac:dyDescent="0.25">
      <c r="A3" s="5">
        <v>144</v>
      </c>
      <c r="B3" s="6" t="s">
        <v>27</v>
      </c>
      <c r="C3" s="6" t="s">
        <v>36</v>
      </c>
      <c r="D3" s="6">
        <v>259</v>
      </c>
      <c r="E3" s="6" t="s">
        <v>45</v>
      </c>
      <c r="F3" s="6" t="s">
        <v>49</v>
      </c>
      <c r="G3" s="6" t="s">
        <v>51</v>
      </c>
      <c r="H3" s="6" t="s">
        <v>54</v>
      </c>
    </row>
    <row r="4" spans="1:8" x14ac:dyDescent="0.25">
      <c r="A4" s="3">
        <v>112</v>
      </c>
      <c r="B4" s="4" t="s">
        <v>28</v>
      </c>
      <c r="C4" s="4" t="s">
        <v>37</v>
      </c>
      <c r="D4" s="4">
        <v>465</v>
      </c>
      <c r="E4" s="4" t="s">
        <v>46</v>
      </c>
      <c r="F4" s="4" t="s">
        <v>50</v>
      </c>
      <c r="G4" s="4" t="s">
        <v>52</v>
      </c>
      <c r="H4" s="4" t="s">
        <v>55</v>
      </c>
    </row>
    <row r="5" spans="1:8" x14ac:dyDescent="0.25">
      <c r="A5" s="5">
        <v>119</v>
      </c>
      <c r="B5" s="6" t="s">
        <v>29</v>
      </c>
      <c r="C5" s="6" t="s">
        <v>38</v>
      </c>
      <c r="D5" s="6">
        <v>282</v>
      </c>
      <c r="E5" s="6" t="s">
        <v>47</v>
      </c>
      <c r="F5" s="6" t="s">
        <v>49</v>
      </c>
      <c r="G5" s="6" t="s">
        <v>52</v>
      </c>
      <c r="H5" s="6" t="s">
        <v>56</v>
      </c>
    </row>
    <row r="6" spans="1:8" x14ac:dyDescent="0.25">
      <c r="A6" s="3">
        <v>121</v>
      </c>
      <c r="B6" s="4" t="s">
        <v>30</v>
      </c>
      <c r="C6" s="4" t="s">
        <v>39</v>
      </c>
      <c r="D6" s="4">
        <v>215</v>
      </c>
      <c r="E6" s="4" t="s">
        <v>44</v>
      </c>
      <c r="F6" s="4" t="s">
        <v>50</v>
      </c>
      <c r="G6" s="4" t="s">
        <v>52</v>
      </c>
      <c r="H6" s="4" t="s">
        <v>55</v>
      </c>
    </row>
    <row r="7" spans="1:8" x14ac:dyDescent="0.25">
      <c r="A7" s="5">
        <v>114</v>
      </c>
      <c r="B7" s="6" t="s">
        <v>31</v>
      </c>
      <c r="C7" s="6" t="s">
        <v>40</v>
      </c>
      <c r="D7" s="6">
        <v>253</v>
      </c>
      <c r="E7" s="6" t="s">
        <v>47</v>
      </c>
      <c r="F7" s="6" t="s">
        <v>48</v>
      </c>
      <c r="G7" s="6" t="s">
        <v>52</v>
      </c>
      <c r="H7" s="6" t="s">
        <v>55</v>
      </c>
    </row>
    <row r="8" spans="1:8" x14ac:dyDescent="0.25">
      <c r="A8" s="5">
        <v>141</v>
      </c>
      <c r="B8" s="6" t="s">
        <v>32</v>
      </c>
      <c r="C8" s="6" t="s">
        <v>41</v>
      </c>
      <c r="D8" s="6">
        <v>66</v>
      </c>
      <c r="E8" s="6" t="s">
        <v>44</v>
      </c>
      <c r="F8" s="6" t="s">
        <v>50</v>
      </c>
      <c r="G8" s="6" t="s">
        <v>51</v>
      </c>
      <c r="H8" s="6" t="s">
        <v>57</v>
      </c>
    </row>
    <row r="9" spans="1:8" x14ac:dyDescent="0.25">
      <c r="A9" s="5">
        <v>128</v>
      </c>
      <c r="B9" s="6" t="s">
        <v>33</v>
      </c>
      <c r="C9" s="6" t="s">
        <v>42</v>
      </c>
      <c r="D9" s="6">
        <v>401</v>
      </c>
      <c r="E9" s="6" t="s">
        <v>47</v>
      </c>
      <c r="F9" s="6" t="s">
        <v>50</v>
      </c>
      <c r="G9" s="6" t="s">
        <v>52</v>
      </c>
      <c r="H9" s="6" t="s">
        <v>58</v>
      </c>
    </row>
    <row r="10" spans="1:8" x14ac:dyDescent="0.25">
      <c r="A10" s="7">
        <v>118</v>
      </c>
      <c r="B10" s="8" t="s">
        <v>34</v>
      </c>
      <c r="C10" s="8" t="s">
        <v>43</v>
      </c>
      <c r="D10" s="8">
        <v>63</v>
      </c>
      <c r="E10" s="8" t="s">
        <v>44</v>
      </c>
      <c r="F10" s="8" t="s">
        <v>48</v>
      </c>
      <c r="G10" s="8" t="s">
        <v>51</v>
      </c>
      <c r="H10" s="8" t="s">
        <v>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1CB9-974E-472A-9DEE-C2015CDA46F4}">
  <dimension ref="A1:H11"/>
  <sheetViews>
    <sheetView topLeftCell="F1" workbookViewId="0">
      <selection activeCell="F1" sqref="F1"/>
    </sheetView>
  </sheetViews>
  <sheetFormatPr baseColWidth="10" defaultRowHeight="15" x14ac:dyDescent="0.25"/>
  <cols>
    <col min="1" max="1" width="15" customWidth="1"/>
    <col min="2" max="2" width="12" customWidth="1"/>
    <col min="3" max="3" width="15.42578125" customWidth="1"/>
    <col min="7" max="7" width="14.85546875" customWidth="1"/>
  </cols>
  <sheetData>
    <row r="1" spans="1:8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25">
      <c r="A2" s="4">
        <v>1010</v>
      </c>
      <c r="B2" s="4" t="s">
        <v>59</v>
      </c>
      <c r="C2" s="4" t="s">
        <v>69</v>
      </c>
      <c r="D2" s="4" t="s">
        <v>71</v>
      </c>
      <c r="E2" s="4">
        <v>68571</v>
      </c>
      <c r="F2" s="4">
        <v>0</v>
      </c>
      <c r="G2" s="4" t="s">
        <v>73</v>
      </c>
      <c r="H2" s="4">
        <v>1</v>
      </c>
    </row>
    <row r="3" spans="1:8" x14ac:dyDescent="0.25">
      <c r="A3" s="4">
        <v>1043</v>
      </c>
      <c r="B3" s="4" t="s">
        <v>60</v>
      </c>
      <c r="C3" s="4" t="s">
        <v>70</v>
      </c>
      <c r="D3" s="4" t="s">
        <v>72</v>
      </c>
      <c r="E3" s="4">
        <v>25072</v>
      </c>
      <c r="F3" s="4">
        <v>1</v>
      </c>
      <c r="G3" s="4" t="s">
        <v>73</v>
      </c>
      <c r="H3" s="4">
        <v>2</v>
      </c>
    </row>
    <row r="4" spans="1:8" x14ac:dyDescent="0.25">
      <c r="A4" s="6">
        <v>1002</v>
      </c>
      <c r="B4" s="6" t="s">
        <v>61</v>
      </c>
      <c r="C4" s="6" t="s">
        <v>70</v>
      </c>
      <c r="D4" s="6" t="s">
        <v>72</v>
      </c>
      <c r="E4" s="6">
        <v>64715</v>
      </c>
      <c r="F4" s="6">
        <v>1</v>
      </c>
      <c r="G4" s="6" t="s">
        <v>74</v>
      </c>
      <c r="H4" s="6">
        <v>1</v>
      </c>
    </row>
    <row r="5" spans="1:8" x14ac:dyDescent="0.25">
      <c r="A5" s="6">
        <v>1030</v>
      </c>
      <c r="B5" s="6" t="s">
        <v>62</v>
      </c>
      <c r="C5" s="6" t="s">
        <v>70</v>
      </c>
      <c r="D5" s="6" t="s">
        <v>72</v>
      </c>
      <c r="E5" s="6">
        <v>51346</v>
      </c>
      <c r="F5" s="6">
        <v>2</v>
      </c>
      <c r="G5" s="6" t="s">
        <v>73</v>
      </c>
      <c r="H5" s="6">
        <v>1</v>
      </c>
    </row>
    <row r="6" spans="1:8" x14ac:dyDescent="0.25">
      <c r="A6" s="4">
        <v>1014</v>
      </c>
      <c r="B6" s="4" t="s">
        <v>63</v>
      </c>
      <c r="C6" s="4" t="s">
        <v>70</v>
      </c>
      <c r="D6" s="4" t="s">
        <v>72</v>
      </c>
      <c r="E6" s="4">
        <v>38460</v>
      </c>
      <c r="F6" s="4">
        <v>0</v>
      </c>
      <c r="G6" s="4" t="s">
        <v>73</v>
      </c>
      <c r="H6" s="4">
        <v>0</v>
      </c>
    </row>
    <row r="7" spans="1:8" x14ac:dyDescent="0.25">
      <c r="A7" s="6">
        <v>1018</v>
      </c>
      <c r="B7" s="6" t="s">
        <v>64</v>
      </c>
      <c r="C7" s="6" t="s">
        <v>70</v>
      </c>
      <c r="D7" s="6" t="s">
        <v>71</v>
      </c>
      <c r="E7" s="6">
        <v>49779</v>
      </c>
      <c r="F7" s="6">
        <v>2</v>
      </c>
      <c r="G7" s="6" t="s">
        <v>74</v>
      </c>
      <c r="H7" s="6">
        <v>0</v>
      </c>
    </row>
    <row r="8" spans="1:8" x14ac:dyDescent="0.25">
      <c r="A8" s="4">
        <v>1022</v>
      </c>
      <c r="B8" s="4" t="s">
        <v>65</v>
      </c>
      <c r="C8" s="4" t="s">
        <v>70</v>
      </c>
      <c r="D8" s="4" t="s">
        <v>71</v>
      </c>
      <c r="E8" s="4">
        <v>52944</v>
      </c>
      <c r="F8" s="4">
        <v>3</v>
      </c>
      <c r="G8" s="4" t="s">
        <v>73</v>
      </c>
      <c r="H8" s="4">
        <v>1</v>
      </c>
    </row>
    <row r="9" spans="1:8" x14ac:dyDescent="0.25">
      <c r="A9" s="4">
        <v>1007</v>
      </c>
      <c r="B9" s="4" t="s">
        <v>66</v>
      </c>
      <c r="C9" s="4" t="s">
        <v>69</v>
      </c>
      <c r="D9" s="4" t="s">
        <v>72</v>
      </c>
      <c r="E9" s="4">
        <v>72282</v>
      </c>
      <c r="F9" s="4">
        <v>4</v>
      </c>
      <c r="G9" s="4" t="s">
        <v>73</v>
      </c>
      <c r="H9" s="4">
        <v>3</v>
      </c>
    </row>
    <row r="10" spans="1:8" x14ac:dyDescent="0.25">
      <c r="A10" s="6">
        <v>1049</v>
      </c>
      <c r="B10" s="6" t="s">
        <v>67</v>
      </c>
      <c r="C10" s="6" t="s">
        <v>70</v>
      </c>
      <c r="D10" s="6" t="s">
        <v>71</v>
      </c>
      <c r="E10" s="6">
        <v>37462</v>
      </c>
      <c r="F10" s="6">
        <v>2</v>
      </c>
      <c r="G10" s="6" t="s">
        <v>73</v>
      </c>
      <c r="H10" s="6">
        <v>0</v>
      </c>
    </row>
    <row r="11" spans="1:8" x14ac:dyDescent="0.25">
      <c r="A11" s="8">
        <v>1016</v>
      </c>
      <c r="B11" s="8" t="s">
        <v>68</v>
      </c>
      <c r="C11" s="8" t="s">
        <v>70</v>
      </c>
      <c r="D11" s="8" t="s">
        <v>72</v>
      </c>
      <c r="E11" s="8">
        <v>50603</v>
      </c>
      <c r="F11" s="8">
        <v>1</v>
      </c>
      <c r="G11" s="8" t="s">
        <v>74</v>
      </c>
      <c r="H11" s="8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2FE3-A887-47FC-A450-78743EA6E176}">
  <dimension ref="A1:E148"/>
  <sheetViews>
    <sheetView workbookViewId="0">
      <selection activeCell="A8" sqref="A8"/>
    </sheetView>
  </sheetViews>
  <sheetFormatPr baseColWidth="10" defaultRowHeight="15" x14ac:dyDescent="0.25"/>
  <sheetData>
    <row r="1" spans="1:5" x14ac:dyDescent="0.25">
      <c r="A1" s="2" t="s">
        <v>322</v>
      </c>
      <c r="B1" s="15" t="s">
        <v>323</v>
      </c>
      <c r="C1" s="16" t="s">
        <v>324</v>
      </c>
      <c r="D1" s="16" t="s">
        <v>325</v>
      </c>
      <c r="E1" s="16" t="s">
        <v>326</v>
      </c>
    </row>
    <row r="2" spans="1:5" x14ac:dyDescent="0.25">
      <c r="A2" s="4">
        <v>20220131</v>
      </c>
      <c r="B2" s="12" t="s">
        <v>75</v>
      </c>
      <c r="C2">
        <f>MONTH(dim_date[[#This Row],[Date]])</f>
        <v>1</v>
      </c>
      <c r="D2" t="str">
        <f>TEXT(dim_date[[#This Row],[Date]],"mmmm")</f>
        <v>enero</v>
      </c>
      <c r="E2" t="str">
        <f>"Q"&amp;ROUNDUP(MONTH(dim_date[[#This Row],[Date]])/3,0)</f>
        <v>Q1</v>
      </c>
    </row>
    <row r="3" spans="1:5" x14ac:dyDescent="0.25">
      <c r="A3" s="6">
        <v>20220928</v>
      </c>
      <c r="B3" s="13" t="s">
        <v>76</v>
      </c>
      <c r="C3">
        <f>MONTH(dim_date[[#This Row],[Date]])</f>
        <v>9</v>
      </c>
      <c r="D3" t="str">
        <f>TEXT(dim_date[[#This Row],[Date]],"mmmm")</f>
        <v>septiembre</v>
      </c>
      <c r="E3" t="str">
        <f>"Q"&amp;ROUNDUP(MONTH(dim_date[[#This Row],[Date]])/3,0)</f>
        <v>Q3</v>
      </c>
    </row>
    <row r="4" spans="1:5" x14ac:dyDescent="0.25">
      <c r="A4" s="4">
        <v>20251027</v>
      </c>
      <c r="B4" s="12" t="s">
        <v>77</v>
      </c>
      <c r="C4">
        <f>MONTH(dim_date[[#This Row],[Date]])</f>
        <v>10</v>
      </c>
      <c r="D4" t="str">
        <f>TEXT(dim_date[[#This Row],[Date]],"mmmm")</f>
        <v>octubre</v>
      </c>
      <c r="E4" t="str">
        <f>"Q"&amp;ROUNDUP(MONTH(dim_date[[#This Row],[Date]])/3,0)</f>
        <v>Q4</v>
      </c>
    </row>
    <row r="5" spans="1:5" x14ac:dyDescent="0.25">
      <c r="A5" s="6">
        <v>20231207</v>
      </c>
      <c r="B5" s="13" t="s">
        <v>78</v>
      </c>
      <c r="C5">
        <f>MONTH(dim_date[[#This Row],[Date]])</f>
        <v>12</v>
      </c>
      <c r="D5" t="str">
        <f>TEXT(dim_date[[#This Row],[Date]],"mmmm")</f>
        <v>diciembre</v>
      </c>
      <c r="E5" t="str">
        <f>"Q"&amp;ROUNDUP(MONTH(dim_date[[#This Row],[Date]])/3,0)</f>
        <v>Q4</v>
      </c>
    </row>
    <row r="6" spans="1:5" x14ac:dyDescent="0.25">
      <c r="A6" s="4">
        <v>20220416</v>
      </c>
      <c r="B6" s="12" t="s">
        <v>79</v>
      </c>
      <c r="C6">
        <f>MONTH(dim_date[[#This Row],[Date]])</f>
        <v>4</v>
      </c>
      <c r="D6" t="str">
        <f>TEXT(dim_date[[#This Row],[Date]],"mmmm")</f>
        <v>abril</v>
      </c>
      <c r="E6" t="str">
        <f>"Q"&amp;ROUNDUP(MONTH(dim_date[[#This Row],[Date]])/3,0)</f>
        <v>Q2</v>
      </c>
    </row>
    <row r="7" spans="1:5" x14ac:dyDescent="0.25">
      <c r="A7" s="6">
        <v>20240420</v>
      </c>
      <c r="B7" s="13" t="s">
        <v>80</v>
      </c>
      <c r="C7">
        <f>MONTH(dim_date[[#This Row],[Date]])</f>
        <v>4</v>
      </c>
      <c r="D7" t="str">
        <f>TEXT(dim_date[[#This Row],[Date]],"mmmm")</f>
        <v>abril</v>
      </c>
      <c r="E7" t="str">
        <f>"Q"&amp;ROUNDUP(MONTH(dim_date[[#This Row],[Date]])/3,0)</f>
        <v>Q2</v>
      </c>
    </row>
    <row r="8" spans="1:5" x14ac:dyDescent="0.25">
      <c r="A8" s="4">
        <v>20220501</v>
      </c>
      <c r="B8" s="12" t="s">
        <v>81</v>
      </c>
      <c r="C8">
        <f>MONTH(dim_date[[#This Row],[Date]])</f>
        <v>5</v>
      </c>
      <c r="D8" t="str">
        <f>TEXT(dim_date[[#This Row],[Date]],"mmmm")</f>
        <v>mayo</v>
      </c>
      <c r="E8" t="str">
        <f>"Q"&amp;ROUNDUP(MONTH(dim_date[[#This Row],[Date]])/3,0)</f>
        <v>Q2</v>
      </c>
    </row>
    <row r="9" spans="1:5" x14ac:dyDescent="0.25">
      <c r="A9" s="6">
        <v>20240619</v>
      </c>
      <c r="B9" s="13" t="s">
        <v>82</v>
      </c>
      <c r="C9">
        <f>MONTH(dim_date[[#This Row],[Date]])</f>
        <v>6</v>
      </c>
      <c r="D9" t="str">
        <f>TEXT(dim_date[[#This Row],[Date]],"mmmm")</f>
        <v>junio</v>
      </c>
      <c r="E9" t="str">
        <f>"Q"&amp;ROUNDUP(MONTH(dim_date[[#This Row],[Date]])/3,0)</f>
        <v>Q2</v>
      </c>
    </row>
    <row r="10" spans="1:5" x14ac:dyDescent="0.25">
      <c r="A10" s="4">
        <v>20220317</v>
      </c>
      <c r="B10" s="12" t="s">
        <v>83</v>
      </c>
      <c r="C10">
        <f>MONTH(dim_date[[#This Row],[Date]])</f>
        <v>3</v>
      </c>
      <c r="D10" t="str">
        <f>TEXT(dim_date[[#This Row],[Date]],"mmmm")</f>
        <v>marzo</v>
      </c>
      <c r="E10" t="str">
        <f>"Q"&amp;ROUNDUP(MONTH(dim_date[[#This Row],[Date]])/3,0)</f>
        <v>Q1</v>
      </c>
    </row>
    <row r="11" spans="1:5" x14ac:dyDescent="0.25">
      <c r="A11" s="6">
        <v>20230610</v>
      </c>
      <c r="B11" s="13" t="s">
        <v>84</v>
      </c>
      <c r="C11">
        <f>MONTH(dim_date[[#This Row],[Date]])</f>
        <v>6</v>
      </c>
      <c r="D11" t="str">
        <f>TEXT(dim_date[[#This Row],[Date]],"mmmm")</f>
        <v>junio</v>
      </c>
      <c r="E11" t="str">
        <f>"Q"&amp;ROUNDUP(MONTH(dim_date[[#This Row],[Date]])/3,0)</f>
        <v>Q2</v>
      </c>
    </row>
    <row r="12" spans="1:5" x14ac:dyDescent="0.25">
      <c r="A12" s="4">
        <v>20230908</v>
      </c>
      <c r="B12" s="12" t="s">
        <v>85</v>
      </c>
      <c r="C12">
        <f>MONTH(dim_date[[#This Row],[Date]])</f>
        <v>9</v>
      </c>
      <c r="D12" t="str">
        <f>TEXT(dim_date[[#This Row],[Date]],"mmmm")</f>
        <v>septiembre</v>
      </c>
      <c r="E12" t="str">
        <f>"Q"&amp;ROUNDUP(MONTH(dim_date[[#This Row],[Date]])/3,0)</f>
        <v>Q3</v>
      </c>
    </row>
    <row r="13" spans="1:5" x14ac:dyDescent="0.25">
      <c r="A13" s="6">
        <v>20240405</v>
      </c>
      <c r="B13" s="13" t="s">
        <v>86</v>
      </c>
      <c r="C13">
        <f>MONTH(dim_date[[#This Row],[Date]])</f>
        <v>4</v>
      </c>
      <c r="D13" t="str">
        <f>TEXT(dim_date[[#This Row],[Date]],"mmmm")</f>
        <v>abril</v>
      </c>
      <c r="E13" t="str">
        <f>"Q"&amp;ROUNDUP(MONTH(dim_date[[#This Row],[Date]])/3,0)</f>
        <v>Q2</v>
      </c>
    </row>
    <row r="14" spans="1:5" x14ac:dyDescent="0.25">
      <c r="A14" s="4">
        <v>20250430</v>
      </c>
      <c r="B14" s="12" t="s">
        <v>87</v>
      </c>
      <c r="C14">
        <f>MONTH(dim_date[[#This Row],[Date]])</f>
        <v>4</v>
      </c>
      <c r="D14" t="str">
        <f>TEXT(dim_date[[#This Row],[Date]],"mmmm")</f>
        <v>abril</v>
      </c>
      <c r="E14" t="str">
        <f>"Q"&amp;ROUNDUP(MONTH(dim_date[[#This Row],[Date]])/3,0)</f>
        <v>Q2</v>
      </c>
    </row>
    <row r="15" spans="1:5" x14ac:dyDescent="0.25">
      <c r="A15" s="4">
        <v>20240604</v>
      </c>
      <c r="B15" s="12" t="s">
        <v>88</v>
      </c>
      <c r="C15">
        <f>MONTH(dim_date[[#This Row],[Date]])</f>
        <v>6</v>
      </c>
      <c r="D15" t="str">
        <f>TEXT(dim_date[[#This Row],[Date]],"mmmm")</f>
        <v>junio</v>
      </c>
      <c r="E15" t="str">
        <f>"Q"&amp;ROUNDUP(MONTH(dim_date[[#This Row],[Date]])/3,0)</f>
        <v>Q2</v>
      </c>
    </row>
    <row r="16" spans="1:5" x14ac:dyDescent="0.25">
      <c r="A16" s="6">
        <v>20241116</v>
      </c>
      <c r="B16" s="13" t="s">
        <v>89</v>
      </c>
      <c r="C16">
        <f>MONTH(dim_date[[#This Row],[Date]])</f>
        <v>11</v>
      </c>
      <c r="D16" t="str">
        <f>TEXT(dim_date[[#This Row],[Date]],"mmmm")</f>
        <v>noviembre</v>
      </c>
      <c r="E16" t="str">
        <f>"Q"&amp;ROUNDUP(MONTH(dim_date[[#This Row],[Date]])/3,0)</f>
        <v>Q4</v>
      </c>
    </row>
    <row r="17" spans="1:5" x14ac:dyDescent="0.25">
      <c r="A17" s="4">
        <v>20240306</v>
      </c>
      <c r="B17" s="12" t="s">
        <v>90</v>
      </c>
      <c r="C17">
        <f>MONTH(dim_date[[#This Row],[Date]])</f>
        <v>3</v>
      </c>
      <c r="D17" t="str">
        <f>TEXT(dim_date[[#This Row],[Date]],"mmmm")</f>
        <v>marzo</v>
      </c>
      <c r="E17" t="str">
        <f>"Q"&amp;ROUNDUP(MONTH(dim_date[[#This Row],[Date]])/3,0)</f>
        <v>Q1</v>
      </c>
    </row>
    <row r="18" spans="1:5" x14ac:dyDescent="0.25">
      <c r="A18" s="6">
        <v>20240505</v>
      </c>
      <c r="B18" s="13" t="s">
        <v>91</v>
      </c>
      <c r="C18">
        <f>MONTH(dim_date[[#This Row],[Date]])</f>
        <v>5</v>
      </c>
      <c r="D18" t="str">
        <f>TEXT(dim_date[[#This Row],[Date]],"mmmm")</f>
        <v>mayo</v>
      </c>
      <c r="E18" t="str">
        <f>"Q"&amp;ROUNDUP(MONTH(dim_date[[#This Row],[Date]])/3,0)</f>
        <v>Q2</v>
      </c>
    </row>
    <row r="19" spans="1:5" x14ac:dyDescent="0.25">
      <c r="A19" s="4">
        <v>20251211</v>
      </c>
      <c r="B19" s="12" t="s">
        <v>92</v>
      </c>
      <c r="C19">
        <f>MONTH(dim_date[[#This Row],[Date]])</f>
        <v>12</v>
      </c>
      <c r="D19" t="str">
        <f>TEXT(dim_date[[#This Row],[Date]],"mmmm")</f>
        <v>diciembre</v>
      </c>
      <c r="E19" t="str">
        <f>"Q"&amp;ROUNDUP(MONTH(dim_date[[#This Row],[Date]])/3,0)</f>
        <v>Q4</v>
      </c>
    </row>
    <row r="20" spans="1:5" x14ac:dyDescent="0.25">
      <c r="A20" s="6">
        <v>20220615</v>
      </c>
      <c r="B20" s="13" t="s">
        <v>93</v>
      </c>
      <c r="C20">
        <f>MONTH(dim_date[[#This Row],[Date]])</f>
        <v>6</v>
      </c>
      <c r="D20" t="str">
        <f>TEXT(dim_date[[#This Row],[Date]],"mmmm")</f>
        <v>junio</v>
      </c>
      <c r="E20" t="str">
        <f>"Q"&amp;ROUNDUP(MONTH(dim_date[[#This Row],[Date]])/3,0)</f>
        <v>Q2</v>
      </c>
    </row>
    <row r="21" spans="1:5" x14ac:dyDescent="0.25">
      <c r="A21" s="4">
        <v>20220516</v>
      </c>
      <c r="B21" s="12" t="s">
        <v>94</v>
      </c>
      <c r="C21">
        <f>MONTH(dim_date[[#This Row],[Date]])</f>
        <v>5</v>
      </c>
      <c r="D21" t="str">
        <f>TEXT(dim_date[[#This Row],[Date]],"mmmm")</f>
        <v>mayo</v>
      </c>
      <c r="E21" t="str">
        <f>"Q"&amp;ROUNDUP(MONTH(dim_date[[#This Row],[Date]])/3,0)</f>
        <v>Q2</v>
      </c>
    </row>
    <row r="22" spans="1:5" x14ac:dyDescent="0.25">
      <c r="A22" s="6">
        <v>20221013</v>
      </c>
      <c r="B22" s="13" t="s">
        <v>95</v>
      </c>
      <c r="C22">
        <f>MONTH(dim_date[[#This Row],[Date]])</f>
        <v>10</v>
      </c>
      <c r="D22" t="str">
        <f>TEXT(dim_date[[#This Row],[Date]],"mmmm")</f>
        <v>octubre</v>
      </c>
      <c r="E22" t="str">
        <f>"Q"&amp;ROUNDUP(MONTH(dim_date[[#This Row],[Date]])/3,0)</f>
        <v>Q4</v>
      </c>
    </row>
    <row r="23" spans="1:5" x14ac:dyDescent="0.25">
      <c r="A23" s="4">
        <v>20220101</v>
      </c>
      <c r="B23" s="12" t="s">
        <v>96</v>
      </c>
      <c r="C23">
        <f>MONTH(dim_date[[#This Row],[Date]])</f>
        <v>1</v>
      </c>
      <c r="D23" t="str">
        <f>TEXT(dim_date[[#This Row],[Date]],"mmmm")</f>
        <v>enero</v>
      </c>
      <c r="E23" t="str">
        <f>"Q"&amp;ROUNDUP(MONTH(dim_date[[#This Row],[Date]])/3,0)</f>
        <v>Q1</v>
      </c>
    </row>
    <row r="24" spans="1:5" x14ac:dyDescent="0.25">
      <c r="A24" s="6">
        <v>20220913</v>
      </c>
      <c r="B24" s="13" t="s">
        <v>97</v>
      </c>
      <c r="C24">
        <f>MONTH(dim_date[[#This Row],[Date]])</f>
        <v>9</v>
      </c>
      <c r="D24" t="str">
        <f>TEXT(dim_date[[#This Row],[Date]],"mmmm")</f>
        <v>septiembre</v>
      </c>
      <c r="E24" t="str">
        <f>"Q"&amp;ROUNDUP(MONTH(dim_date[[#This Row],[Date]])/3,0)</f>
        <v>Q3</v>
      </c>
    </row>
    <row r="25" spans="1:5" x14ac:dyDescent="0.25">
      <c r="A25" s="4">
        <v>20230327</v>
      </c>
      <c r="B25" s="12" t="s">
        <v>98</v>
      </c>
      <c r="C25">
        <f>MONTH(dim_date[[#This Row],[Date]])</f>
        <v>3</v>
      </c>
      <c r="D25" t="str">
        <f>TEXT(dim_date[[#This Row],[Date]],"mmmm")</f>
        <v>marzo</v>
      </c>
      <c r="E25" t="str">
        <f>"Q"&amp;ROUNDUP(MONTH(dim_date[[#This Row],[Date]])/3,0)</f>
        <v>Q1</v>
      </c>
    </row>
    <row r="26" spans="1:5" x14ac:dyDescent="0.25">
      <c r="A26" s="6">
        <v>20220630</v>
      </c>
      <c r="B26" s="13" t="s">
        <v>99</v>
      </c>
      <c r="C26">
        <f>MONTH(dim_date[[#This Row],[Date]])</f>
        <v>6</v>
      </c>
      <c r="D26" t="str">
        <f>TEXT(dim_date[[#This Row],[Date]],"mmmm")</f>
        <v>junio</v>
      </c>
      <c r="E26" t="str">
        <f>"Q"&amp;ROUNDUP(MONTH(dim_date[[#This Row],[Date]])/3,0)</f>
        <v>Q2</v>
      </c>
    </row>
    <row r="27" spans="1:5" x14ac:dyDescent="0.25">
      <c r="A27" s="4">
        <v>20251226</v>
      </c>
      <c r="B27" s="12" t="s">
        <v>100</v>
      </c>
      <c r="C27">
        <f>MONTH(dim_date[[#This Row],[Date]])</f>
        <v>12</v>
      </c>
      <c r="D27" t="str">
        <f>TEXT(dim_date[[#This Row],[Date]],"mmmm")</f>
        <v>diciembre</v>
      </c>
      <c r="E27" t="str">
        <f>"Q"&amp;ROUNDUP(MONTH(dim_date[[#This Row],[Date]])/3,0)</f>
        <v>Q4</v>
      </c>
    </row>
    <row r="28" spans="1:5" x14ac:dyDescent="0.25">
      <c r="A28" s="6">
        <v>20250614</v>
      </c>
      <c r="B28" s="13" t="s">
        <v>101</v>
      </c>
      <c r="C28">
        <f>MONTH(dim_date[[#This Row],[Date]])</f>
        <v>6</v>
      </c>
      <c r="D28" t="str">
        <f>TEXT(dim_date[[#This Row],[Date]],"mmmm")</f>
        <v>junio</v>
      </c>
      <c r="E28" t="str">
        <f>"Q"&amp;ROUNDUP(MONTH(dim_date[[#This Row],[Date]])/3,0)</f>
        <v>Q2</v>
      </c>
    </row>
    <row r="29" spans="1:5" x14ac:dyDescent="0.25">
      <c r="A29" s="4">
        <v>20240106</v>
      </c>
      <c r="B29" s="12" t="s">
        <v>102</v>
      </c>
      <c r="C29">
        <f>MONTH(dim_date[[#This Row],[Date]])</f>
        <v>1</v>
      </c>
      <c r="D29" t="str">
        <f>TEXT(dim_date[[#This Row],[Date]],"mmmm")</f>
        <v>enero</v>
      </c>
      <c r="E29" t="str">
        <f>"Q"&amp;ROUNDUP(MONTH(dim_date[[#This Row],[Date]])/3,0)</f>
        <v>Q1</v>
      </c>
    </row>
    <row r="30" spans="1:5" x14ac:dyDescent="0.25">
      <c r="A30" s="6">
        <v>20230526</v>
      </c>
      <c r="B30" s="13" t="s">
        <v>103</v>
      </c>
      <c r="C30">
        <f>MONTH(dim_date[[#This Row],[Date]])</f>
        <v>5</v>
      </c>
      <c r="D30" t="str">
        <f>TEXT(dim_date[[#This Row],[Date]],"mmmm")</f>
        <v>mayo</v>
      </c>
      <c r="E30" t="str">
        <f>"Q"&amp;ROUNDUP(MONTH(dim_date[[#This Row],[Date]])/3,0)</f>
        <v>Q2</v>
      </c>
    </row>
    <row r="31" spans="1:5" x14ac:dyDescent="0.25">
      <c r="A31" s="4">
        <v>20220531</v>
      </c>
      <c r="B31" s="12" t="s">
        <v>104</v>
      </c>
      <c r="C31">
        <f>MONTH(dim_date[[#This Row],[Date]])</f>
        <v>5</v>
      </c>
      <c r="D31" t="str">
        <f>TEXT(dim_date[[#This Row],[Date]],"mmmm")</f>
        <v>mayo</v>
      </c>
      <c r="E31" t="str">
        <f>"Q"&amp;ROUNDUP(MONTH(dim_date[[#This Row],[Date]])/3,0)</f>
        <v>Q2</v>
      </c>
    </row>
    <row r="32" spans="1:5" x14ac:dyDescent="0.25">
      <c r="A32" s="6">
        <v>20220215</v>
      </c>
      <c r="B32" s="13" t="s">
        <v>105</v>
      </c>
      <c r="C32">
        <f>MONTH(dim_date[[#This Row],[Date]])</f>
        <v>2</v>
      </c>
      <c r="D32" t="str">
        <f>TEXT(dim_date[[#This Row],[Date]],"mmmm")</f>
        <v>febrero</v>
      </c>
      <c r="E32" t="str">
        <f>"Q"&amp;ROUNDUP(MONTH(dim_date[[#This Row],[Date]])/3,0)</f>
        <v>Q1</v>
      </c>
    </row>
    <row r="33" spans="1:5" x14ac:dyDescent="0.25">
      <c r="A33" s="4">
        <v>20240220</v>
      </c>
      <c r="B33" s="12" t="s">
        <v>106</v>
      </c>
      <c r="C33">
        <f>MONTH(dim_date[[#This Row],[Date]])</f>
        <v>2</v>
      </c>
      <c r="D33" t="str">
        <f>TEXT(dim_date[[#This Row],[Date]],"mmmm")</f>
        <v>febrero</v>
      </c>
      <c r="E33" t="str">
        <f>"Q"&amp;ROUNDUP(MONTH(dim_date[[#This Row],[Date]])/3,0)</f>
        <v>Q1</v>
      </c>
    </row>
    <row r="34" spans="1:5" x14ac:dyDescent="0.25">
      <c r="A34" s="4">
        <v>20241017</v>
      </c>
      <c r="B34" s="12" t="s">
        <v>107</v>
      </c>
      <c r="C34">
        <f>MONTH(dim_date[[#This Row],[Date]])</f>
        <v>10</v>
      </c>
      <c r="D34" t="str">
        <f>TEXT(dim_date[[#This Row],[Date]],"mmmm")</f>
        <v>octubre</v>
      </c>
      <c r="E34" t="str">
        <f>"Q"&amp;ROUNDUP(MONTH(dim_date[[#This Row],[Date]])/3,0)</f>
        <v>Q4</v>
      </c>
    </row>
    <row r="35" spans="1:5" x14ac:dyDescent="0.25">
      <c r="A35" s="4">
        <v>20250301</v>
      </c>
      <c r="B35" s="12" t="s">
        <v>108</v>
      </c>
      <c r="C35">
        <f>MONTH(dim_date[[#This Row],[Date]])</f>
        <v>3</v>
      </c>
      <c r="D35" t="str">
        <f>TEXT(dim_date[[#This Row],[Date]],"mmmm")</f>
        <v>marzo</v>
      </c>
      <c r="E35" t="str">
        <f>"Q"&amp;ROUNDUP(MONTH(dim_date[[#This Row],[Date]])/3,0)</f>
        <v>Q1</v>
      </c>
    </row>
    <row r="36" spans="1:5" x14ac:dyDescent="0.25">
      <c r="A36" s="6">
        <v>20220302</v>
      </c>
      <c r="B36" s="13" t="s">
        <v>109</v>
      </c>
      <c r="C36">
        <f>MONTH(dim_date[[#This Row],[Date]])</f>
        <v>3</v>
      </c>
      <c r="D36" t="str">
        <f>TEXT(dim_date[[#This Row],[Date]],"mmmm")</f>
        <v>marzo</v>
      </c>
      <c r="E36" t="str">
        <f>"Q"&amp;ROUNDUP(MONTH(dim_date[[#This Row],[Date]])/3,0)</f>
        <v>Q1</v>
      </c>
    </row>
    <row r="37" spans="1:5" x14ac:dyDescent="0.25">
      <c r="A37" s="4">
        <v>20240902</v>
      </c>
      <c r="B37" s="12" t="s">
        <v>110</v>
      </c>
      <c r="C37">
        <f>MONTH(dim_date[[#This Row],[Date]])</f>
        <v>9</v>
      </c>
      <c r="D37" t="str">
        <f>TEXT(dim_date[[#This Row],[Date]],"mmmm")</f>
        <v>septiembre</v>
      </c>
      <c r="E37" t="str">
        <f>"Q"&amp;ROUNDUP(MONTH(dim_date[[#This Row],[Date]])/3,0)</f>
        <v>Q3</v>
      </c>
    </row>
    <row r="38" spans="1:5" x14ac:dyDescent="0.25">
      <c r="A38" s="6">
        <v>20221227</v>
      </c>
      <c r="B38" s="13" t="s">
        <v>111</v>
      </c>
      <c r="C38">
        <f>MONTH(dim_date[[#This Row],[Date]])</f>
        <v>12</v>
      </c>
      <c r="D38" t="str">
        <f>TEXT(dim_date[[#This Row],[Date]],"mmmm")</f>
        <v>diciembre</v>
      </c>
      <c r="E38" t="str">
        <f>"Q"&amp;ROUNDUP(MONTH(dim_date[[#This Row],[Date]])/3,0)</f>
        <v>Q4</v>
      </c>
    </row>
    <row r="39" spans="1:5" x14ac:dyDescent="0.25">
      <c r="A39" s="6">
        <v>20250912</v>
      </c>
      <c r="B39" s="13" t="s">
        <v>112</v>
      </c>
      <c r="C39">
        <f>MONTH(dim_date[[#This Row],[Date]])</f>
        <v>9</v>
      </c>
      <c r="D39" t="str">
        <f>TEXT(dim_date[[#This Row],[Date]],"mmmm")</f>
        <v>septiembre</v>
      </c>
      <c r="E39" t="str">
        <f>"Q"&amp;ROUNDUP(MONTH(dim_date[[#This Row],[Date]])/3,0)</f>
        <v>Q3</v>
      </c>
    </row>
    <row r="40" spans="1:5" x14ac:dyDescent="0.25">
      <c r="A40" s="4">
        <v>20220730</v>
      </c>
      <c r="B40" s="12" t="s">
        <v>113</v>
      </c>
      <c r="C40">
        <f>MONTH(dim_date[[#This Row],[Date]])</f>
        <v>7</v>
      </c>
      <c r="D40" t="str">
        <f>TEXT(dim_date[[#This Row],[Date]],"mmmm")</f>
        <v>julio</v>
      </c>
      <c r="E40" t="str">
        <f>"Q"&amp;ROUNDUP(MONTH(dim_date[[#This Row],[Date]])/3,0)</f>
        <v>Q3</v>
      </c>
    </row>
    <row r="41" spans="1:5" x14ac:dyDescent="0.25">
      <c r="A41" s="6">
        <v>20220401</v>
      </c>
      <c r="B41" s="13" t="s">
        <v>114</v>
      </c>
      <c r="C41">
        <f>MONTH(dim_date[[#This Row],[Date]])</f>
        <v>4</v>
      </c>
      <c r="D41" t="str">
        <f>TEXT(dim_date[[#This Row],[Date]],"mmmm")</f>
        <v>abril</v>
      </c>
      <c r="E41" t="str">
        <f>"Q"&amp;ROUNDUP(MONTH(dim_date[[#This Row],[Date]])/3,0)</f>
        <v>Q2</v>
      </c>
    </row>
    <row r="42" spans="1:5" x14ac:dyDescent="0.25">
      <c r="A42" s="4">
        <v>20220829</v>
      </c>
      <c r="B42" s="12" t="s">
        <v>115</v>
      </c>
      <c r="C42">
        <f>MONTH(dim_date[[#This Row],[Date]])</f>
        <v>8</v>
      </c>
      <c r="D42" t="str">
        <f>TEXT(dim_date[[#This Row],[Date]],"mmmm")</f>
        <v>agosto</v>
      </c>
      <c r="E42" t="str">
        <f>"Q"&amp;ROUNDUP(MONTH(dim_date[[#This Row],[Date]])/3,0)</f>
        <v>Q3</v>
      </c>
    </row>
    <row r="43" spans="1:5" x14ac:dyDescent="0.25">
      <c r="A43" s="6">
        <v>20250316</v>
      </c>
      <c r="B43" s="13" t="s">
        <v>116</v>
      </c>
      <c r="C43">
        <f>MONTH(dim_date[[#This Row],[Date]])</f>
        <v>3</v>
      </c>
      <c r="D43" t="str">
        <f>TEXT(dim_date[[#This Row],[Date]],"mmmm")</f>
        <v>marzo</v>
      </c>
      <c r="E43" t="str">
        <f>"Q"&amp;ROUNDUP(MONTH(dim_date[[#This Row],[Date]])/3,0)</f>
        <v>Q1</v>
      </c>
    </row>
    <row r="44" spans="1:5" x14ac:dyDescent="0.25">
      <c r="A44" s="4">
        <v>20221212</v>
      </c>
      <c r="B44" s="12" t="s">
        <v>117</v>
      </c>
      <c r="C44">
        <f>MONTH(dim_date[[#This Row],[Date]])</f>
        <v>12</v>
      </c>
      <c r="D44" t="str">
        <f>TEXT(dim_date[[#This Row],[Date]],"mmmm")</f>
        <v>diciembre</v>
      </c>
      <c r="E44" t="str">
        <f>"Q"&amp;ROUNDUP(MONTH(dim_date[[#This Row],[Date]])/3,0)</f>
        <v>Q4</v>
      </c>
    </row>
    <row r="45" spans="1:5" x14ac:dyDescent="0.25">
      <c r="A45" s="4">
        <v>20241101</v>
      </c>
      <c r="B45" s="12" t="s">
        <v>118</v>
      </c>
      <c r="C45">
        <f>MONTH(dim_date[[#This Row],[Date]])</f>
        <v>11</v>
      </c>
      <c r="D45" t="str">
        <f>TEXT(dim_date[[#This Row],[Date]],"mmmm")</f>
        <v>noviembre</v>
      </c>
      <c r="E45" t="str">
        <f>"Q"&amp;ROUNDUP(MONTH(dim_date[[#This Row],[Date]])/3,0)</f>
        <v>Q4</v>
      </c>
    </row>
    <row r="46" spans="1:5" x14ac:dyDescent="0.25">
      <c r="A46" s="6">
        <v>20250629</v>
      </c>
      <c r="B46" s="13" t="s">
        <v>119</v>
      </c>
      <c r="C46">
        <f>MONTH(dim_date[[#This Row],[Date]])</f>
        <v>6</v>
      </c>
      <c r="D46" t="str">
        <f>TEXT(dim_date[[#This Row],[Date]],"mmmm")</f>
        <v>junio</v>
      </c>
      <c r="E46" t="str">
        <f>"Q"&amp;ROUNDUP(MONTH(dim_date[[#This Row],[Date]])/3,0)</f>
        <v>Q2</v>
      </c>
    </row>
    <row r="47" spans="1:5" x14ac:dyDescent="0.25">
      <c r="A47" s="6">
        <v>20241231</v>
      </c>
      <c r="B47" s="13" t="s">
        <v>120</v>
      </c>
      <c r="C47">
        <f>MONTH(dim_date[[#This Row],[Date]])</f>
        <v>12</v>
      </c>
      <c r="D47" t="str">
        <f>TEXT(dim_date[[#This Row],[Date]],"mmmm")</f>
        <v>diciembre</v>
      </c>
      <c r="E47" t="str">
        <f>"Q"&amp;ROUNDUP(MONTH(dim_date[[#This Row],[Date]])/3,0)</f>
        <v>Q4</v>
      </c>
    </row>
    <row r="48" spans="1:5" x14ac:dyDescent="0.25">
      <c r="A48" s="4">
        <v>20250130</v>
      </c>
      <c r="B48" s="12" t="s">
        <v>121</v>
      </c>
      <c r="C48">
        <f>MONTH(dim_date[[#This Row],[Date]])</f>
        <v>1</v>
      </c>
      <c r="D48" t="str">
        <f>TEXT(dim_date[[#This Row],[Date]],"mmmm")</f>
        <v>enero</v>
      </c>
      <c r="E48" t="str">
        <f>"Q"&amp;ROUNDUP(MONTH(dim_date[[#This Row],[Date]])/3,0)</f>
        <v>Q1</v>
      </c>
    </row>
    <row r="49" spans="1:5" x14ac:dyDescent="0.25">
      <c r="A49" s="6">
        <v>20230210</v>
      </c>
      <c r="B49" s="13" t="s">
        <v>122</v>
      </c>
      <c r="C49">
        <f>MONTH(dim_date[[#This Row],[Date]])</f>
        <v>2</v>
      </c>
      <c r="D49" t="str">
        <f>TEXT(dim_date[[#This Row],[Date]],"mmmm")</f>
        <v>febrero</v>
      </c>
      <c r="E49" t="str">
        <f>"Q"&amp;ROUNDUP(MONTH(dim_date[[#This Row],[Date]])/3,0)</f>
        <v>Q1</v>
      </c>
    </row>
    <row r="50" spans="1:5" x14ac:dyDescent="0.25">
      <c r="A50" s="4">
        <v>20230625</v>
      </c>
      <c r="B50" s="12" t="s">
        <v>123</v>
      </c>
      <c r="C50">
        <f>MONTH(dim_date[[#This Row],[Date]])</f>
        <v>6</v>
      </c>
      <c r="D50" t="str">
        <f>TEXT(dim_date[[#This Row],[Date]],"mmmm")</f>
        <v>junio</v>
      </c>
      <c r="E50" t="str">
        <f>"Q"&amp;ROUNDUP(MONTH(dim_date[[#This Row],[Date]])/3,0)</f>
        <v>Q2</v>
      </c>
    </row>
    <row r="51" spans="1:5" x14ac:dyDescent="0.25">
      <c r="A51" s="6">
        <v>20250331</v>
      </c>
      <c r="B51" s="13" t="s">
        <v>124</v>
      </c>
      <c r="C51">
        <f>MONTH(dim_date[[#This Row],[Date]])</f>
        <v>3</v>
      </c>
      <c r="D51" t="str">
        <f>TEXT(dim_date[[#This Row],[Date]],"mmmm")</f>
        <v>marzo</v>
      </c>
      <c r="E51" t="str">
        <f>"Q"&amp;ROUNDUP(MONTH(dim_date[[#This Row],[Date]])/3,0)</f>
        <v>Q1</v>
      </c>
    </row>
    <row r="52" spans="1:5" x14ac:dyDescent="0.25">
      <c r="A52" s="4">
        <v>20240704</v>
      </c>
      <c r="B52" s="12" t="s">
        <v>125</v>
      </c>
      <c r="C52">
        <f>MONTH(dim_date[[#This Row],[Date]])</f>
        <v>7</v>
      </c>
      <c r="D52" t="str">
        <f>TEXT(dim_date[[#This Row],[Date]],"mmmm")</f>
        <v>julio</v>
      </c>
      <c r="E52" t="str">
        <f>"Q"&amp;ROUNDUP(MONTH(dim_date[[#This Row],[Date]])/3,0)</f>
        <v>Q3</v>
      </c>
    </row>
    <row r="53" spans="1:5" x14ac:dyDescent="0.25">
      <c r="A53" s="6">
        <v>20250530</v>
      </c>
      <c r="B53" s="13" t="s">
        <v>126</v>
      </c>
      <c r="C53">
        <f>MONTH(dim_date[[#This Row],[Date]])</f>
        <v>5</v>
      </c>
      <c r="D53" t="str">
        <f>TEXT(dim_date[[#This Row],[Date]],"mmmm")</f>
        <v>mayo</v>
      </c>
      <c r="E53" t="str">
        <f>"Q"&amp;ROUNDUP(MONTH(dim_date[[#This Row],[Date]])/3,0)</f>
        <v>Q2</v>
      </c>
    </row>
    <row r="54" spans="1:5" x14ac:dyDescent="0.25">
      <c r="A54" s="6">
        <v>20240121</v>
      </c>
      <c r="B54" s="13" t="s">
        <v>127</v>
      </c>
      <c r="C54">
        <f>MONTH(dim_date[[#This Row],[Date]])</f>
        <v>1</v>
      </c>
      <c r="D54" t="str">
        <f>TEXT(dim_date[[#This Row],[Date]],"mmmm")</f>
        <v>enero</v>
      </c>
      <c r="E54" t="str">
        <f>"Q"&amp;ROUNDUP(MONTH(dim_date[[#This Row],[Date]])/3,0)</f>
        <v>Q1</v>
      </c>
    </row>
    <row r="55" spans="1:5" x14ac:dyDescent="0.25">
      <c r="A55" s="4">
        <v>20230225</v>
      </c>
      <c r="B55" s="12" t="s">
        <v>128</v>
      </c>
      <c r="C55">
        <f>MONTH(dim_date[[#This Row],[Date]])</f>
        <v>2</v>
      </c>
      <c r="D55" t="str">
        <f>TEXT(dim_date[[#This Row],[Date]],"mmmm")</f>
        <v>febrero</v>
      </c>
      <c r="E55" t="str">
        <f>"Q"&amp;ROUNDUP(MONTH(dim_date[[#This Row],[Date]])/3,0)</f>
        <v>Q1</v>
      </c>
    </row>
    <row r="56" spans="1:5" x14ac:dyDescent="0.25">
      <c r="A56" s="6">
        <v>20240205</v>
      </c>
      <c r="B56" s="13" t="s">
        <v>129</v>
      </c>
      <c r="C56">
        <f>MONTH(dim_date[[#This Row],[Date]])</f>
        <v>2</v>
      </c>
      <c r="D56" t="str">
        <f>TEXT(dim_date[[#This Row],[Date]],"mmmm")</f>
        <v>febrero</v>
      </c>
      <c r="E56" t="str">
        <f>"Q"&amp;ROUNDUP(MONTH(dim_date[[#This Row],[Date]])/3,0)</f>
        <v>Q1</v>
      </c>
    </row>
    <row r="57" spans="1:5" x14ac:dyDescent="0.25">
      <c r="A57" s="4">
        <v>20230710</v>
      </c>
      <c r="B57" s="12" t="s">
        <v>130</v>
      </c>
      <c r="C57">
        <f>MONTH(dim_date[[#This Row],[Date]])</f>
        <v>7</v>
      </c>
      <c r="D57" t="str">
        <f>TEXT(dim_date[[#This Row],[Date]],"mmmm")</f>
        <v>julio</v>
      </c>
      <c r="E57" t="str">
        <f>"Q"&amp;ROUNDUP(MONTH(dim_date[[#This Row],[Date]])/3,0)</f>
        <v>Q3</v>
      </c>
    </row>
    <row r="58" spans="1:5" x14ac:dyDescent="0.25">
      <c r="A58" s="4">
        <v>20220715</v>
      </c>
      <c r="B58" s="12" t="s">
        <v>131</v>
      </c>
      <c r="C58">
        <f>MONTH(dim_date[[#This Row],[Date]])</f>
        <v>7</v>
      </c>
      <c r="D58" t="str">
        <f>TEXT(dim_date[[#This Row],[Date]],"mmmm")</f>
        <v>julio</v>
      </c>
      <c r="E58" t="str">
        <f>"Q"&amp;ROUNDUP(MONTH(dim_date[[#This Row],[Date]])/3,0)</f>
        <v>Q3</v>
      </c>
    </row>
    <row r="59" spans="1:5" x14ac:dyDescent="0.25">
      <c r="A59" s="6">
        <v>20230411</v>
      </c>
      <c r="B59" s="13" t="s">
        <v>132</v>
      </c>
      <c r="C59">
        <f>MONTH(dim_date[[#This Row],[Date]])</f>
        <v>4</v>
      </c>
      <c r="D59" t="str">
        <f>TEXT(dim_date[[#This Row],[Date]],"mmmm")</f>
        <v>abril</v>
      </c>
      <c r="E59" t="str">
        <f>"Q"&amp;ROUNDUP(MONTH(dim_date[[#This Row],[Date]])/3,0)</f>
        <v>Q2</v>
      </c>
    </row>
    <row r="60" spans="1:5" x14ac:dyDescent="0.25">
      <c r="A60" s="6">
        <v>20250415</v>
      </c>
      <c r="B60" s="13" t="s">
        <v>133</v>
      </c>
      <c r="C60">
        <f>MONTH(dim_date[[#This Row],[Date]])</f>
        <v>4</v>
      </c>
      <c r="D60" t="str">
        <f>TEXT(dim_date[[#This Row],[Date]],"mmmm")</f>
        <v>abril</v>
      </c>
      <c r="E60" t="str">
        <f>"Q"&amp;ROUNDUP(MONTH(dim_date[[#This Row],[Date]])/3,0)</f>
        <v>Q2</v>
      </c>
    </row>
    <row r="61" spans="1:5" x14ac:dyDescent="0.25">
      <c r="A61" s="4">
        <v>20241201</v>
      </c>
      <c r="B61" s="12" t="s">
        <v>134</v>
      </c>
      <c r="C61">
        <f>MONTH(dim_date[[#This Row],[Date]])</f>
        <v>12</v>
      </c>
      <c r="D61" t="str">
        <f>TEXT(dim_date[[#This Row],[Date]],"mmmm")</f>
        <v>diciembre</v>
      </c>
      <c r="E61" t="str">
        <f>"Q"&amp;ROUNDUP(MONTH(dim_date[[#This Row],[Date]])/3,0)</f>
        <v>Q4</v>
      </c>
    </row>
    <row r="62" spans="1:5" x14ac:dyDescent="0.25">
      <c r="A62" s="6">
        <v>20240803</v>
      </c>
      <c r="B62" s="13" t="s">
        <v>135</v>
      </c>
      <c r="C62">
        <f>MONTH(dim_date[[#This Row],[Date]])</f>
        <v>8</v>
      </c>
      <c r="D62" t="str">
        <f>TEXT(dim_date[[#This Row],[Date]],"mmmm")</f>
        <v>agosto</v>
      </c>
      <c r="E62" t="str">
        <f>"Q"&amp;ROUNDUP(MONTH(dim_date[[#This Row],[Date]])/3,0)</f>
        <v>Q3</v>
      </c>
    </row>
    <row r="63" spans="1:5" x14ac:dyDescent="0.25">
      <c r="A63" s="4">
        <v>20220203</v>
      </c>
      <c r="B63" s="12" t="s">
        <v>136</v>
      </c>
      <c r="C63">
        <f>MONTH(dim_date[[#This Row],[Date]])</f>
        <v>2</v>
      </c>
      <c r="D63" t="str">
        <f>TEXT(dim_date[[#This Row],[Date]],"mmmm")</f>
        <v>febrero</v>
      </c>
      <c r="E63" t="str">
        <f>"Q"&amp;ROUNDUP(MONTH(dim_date[[#This Row],[Date]])/3,0)</f>
        <v>Q1</v>
      </c>
    </row>
    <row r="64" spans="1:5" x14ac:dyDescent="0.25">
      <c r="A64" s="6">
        <v>20221001</v>
      </c>
      <c r="B64" s="13" t="s">
        <v>137</v>
      </c>
      <c r="C64">
        <f>MONTH(dim_date[[#This Row],[Date]])</f>
        <v>10</v>
      </c>
      <c r="D64" t="str">
        <f>TEXT(dim_date[[#This Row],[Date]],"mmmm")</f>
        <v>octubre</v>
      </c>
      <c r="E64" t="str">
        <f>"Q"&amp;ROUNDUP(MONTH(dim_date[[#This Row],[Date]])/3,0)</f>
        <v>Q4</v>
      </c>
    </row>
    <row r="65" spans="1:5" x14ac:dyDescent="0.25">
      <c r="A65" s="4">
        <v>20251030</v>
      </c>
      <c r="B65" s="12" t="s">
        <v>138</v>
      </c>
      <c r="C65">
        <f>MONTH(dim_date[[#This Row],[Date]])</f>
        <v>10</v>
      </c>
      <c r="D65" t="str">
        <f>TEXT(dim_date[[#This Row],[Date]],"mmmm")</f>
        <v>octubre</v>
      </c>
      <c r="E65" t="str">
        <f>"Q"&amp;ROUNDUP(MONTH(dim_date[[#This Row],[Date]])/3,0)</f>
        <v>Q4</v>
      </c>
    </row>
    <row r="66" spans="1:5" x14ac:dyDescent="0.25">
      <c r="A66" s="6">
        <v>20231210</v>
      </c>
      <c r="B66" s="13" t="s">
        <v>139</v>
      </c>
      <c r="C66">
        <f>MONTH(dim_date[[#This Row],[Date]])</f>
        <v>12</v>
      </c>
      <c r="D66" t="str">
        <f>TEXT(dim_date[[#This Row],[Date]],"mmmm")</f>
        <v>diciembre</v>
      </c>
      <c r="E66" t="str">
        <f>"Q"&amp;ROUNDUP(MONTH(dim_date[[#This Row],[Date]])/3,0)</f>
        <v>Q4</v>
      </c>
    </row>
    <row r="67" spans="1:5" x14ac:dyDescent="0.25">
      <c r="A67" s="4">
        <v>20220418</v>
      </c>
      <c r="B67" s="12" t="s">
        <v>140</v>
      </c>
      <c r="C67">
        <f>MONTH(dim_date[[#This Row],[Date]])</f>
        <v>4</v>
      </c>
      <c r="D67" t="str">
        <f>TEXT(dim_date[[#This Row],[Date]],"mmmm")</f>
        <v>abril</v>
      </c>
      <c r="E67" t="str">
        <f>"Q"&amp;ROUNDUP(MONTH(dim_date[[#This Row],[Date]])/3,0)</f>
        <v>Q2</v>
      </c>
    </row>
    <row r="68" spans="1:5" x14ac:dyDescent="0.25">
      <c r="A68" s="6">
        <v>20240423</v>
      </c>
      <c r="B68" s="13" t="s">
        <v>141</v>
      </c>
      <c r="C68">
        <f>MONTH(dim_date[[#This Row],[Date]])</f>
        <v>4</v>
      </c>
      <c r="D68" t="str">
        <f>TEXT(dim_date[[#This Row],[Date]],"mmmm")</f>
        <v>abril</v>
      </c>
      <c r="E68" t="str">
        <f>"Q"&amp;ROUNDUP(MONTH(dim_date[[#This Row],[Date]])/3,0)</f>
        <v>Q2</v>
      </c>
    </row>
    <row r="69" spans="1:5" x14ac:dyDescent="0.25">
      <c r="A69" s="4">
        <v>20220504</v>
      </c>
      <c r="B69" s="12" t="s">
        <v>142</v>
      </c>
      <c r="C69">
        <f>MONTH(dim_date[[#This Row],[Date]])</f>
        <v>5</v>
      </c>
      <c r="D69" t="str">
        <f>TEXT(dim_date[[#This Row],[Date]],"mmmm")</f>
        <v>mayo</v>
      </c>
      <c r="E69" t="str">
        <f>"Q"&amp;ROUNDUP(MONTH(dim_date[[#This Row],[Date]])/3,0)</f>
        <v>Q2</v>
      </c>
    </row>
    <row r="70" spans="1:5" x14ac:dyDescent="0.25">
      <c r="A70" s="6">
        <v>20240621</v>
      </c>
      <c r="B70" s="13" t="s">
        <v>143</v>
      </c>
      <c r="C70">
        <f>MONTH(dim_date[[#This Row],[Date]])</f>
        <v>6</v>
      </c>
      <c r="D70" t="str">
        <f>TEXT(dim_date[[#This Row],[Date]],"mmmm")</f>
        <v>junio</v>
      </c>
      <c r="E70" t="str">
        <f>"Q"&amp;ROUNDUP(MONTH(dim_date[[#This Row],[Date]])/3,0)</f>
        <v>Q2</v>
      </c>
    </row>
    <row r="71" spans="1:5" x14ac:dyDescent="0.25">
      <c r="A71" s="4">
        <v>20220320</v>
      </c>
      <c r="B71" s="12" t="s">
        <v>144</v>
      </c>
      <c r="C71">
        <f>MONTH(dim_date[[#This Row],[Date]])</f>
        <v>3</v>
      </c>
      <c r="D71" t="str">
        <f>TEXT(dim_date[[#This Row],[Date]],"mmmm")</f>
        <v>marzo</v>
      </c>
      <c r="E71" t="str">
        <f>"Q"&amp;ROUNDUP(MONTH(dim_date[[#This Row],[Date]])/3,0)</f>
        <v>Q1</v>
      </c>
    </row>
    <row r="72" spans="1:5" x14ac:dyDescent="0.25">
      <c r="A72" s="6">
        <v>20230613</v>
      </c>
      <c r="B72" s="13" t="s">
        <v>145</v>
      </c>
      <c r="C72">
        <f>MONTH(dim_date[[#This Row],[Date]])</f>
        <v>6</v>
      </c>
      <c r="D72" t="str">
        <f>TEXT(dim_date[[#This Row],[Date]],"mmmm")</f>
        <v>junio</v>
      </c>
      <c r="E72" t="str">
        <f>"Q"&amp;ROUNDUP(MONTH(dim_date[[#This Row],[Date]])/3,0)</f>
        <v>Q2</v>
      </c>
    </row>
    <row r="73" spans="1:5" x14ac:dyDescent="0.25">
      <c r="A73" s="4">
        <v>20230909</v>
      </c>
      <c r="B73" s="12" t="s">
        <v>146</v>
      </c>
      <c r="C73">
        <f>MONTH(dim_date[[#This Row],[Date]])</f>
        <v>9</v>
      </c>
      <c r="D73" t="str">
        <f>TEXT(dim_date[[#This Row],[Date]],"mmmm")</f>
        <v>septiembre</v>
      </c>
      <c r="E73" t="str">
        <f>"Q"&amp;ROUNDUP(MONTH(dim_date[[#This Row],[Date]])/3,0)</f>
        <v>Q3</v>
      </c>
    </row>
    <row r="74" spans="1:5" x14ac:dyDescent="0.25">
      <c r="A74" s="6">
        <v>20240406</v>
      </c>
      <c r="B74" s="13" t="s">
        <v>147</v>
      </c>
      <c r="C74">
        <f>MONTH(dim_date[[#This Row],[Date]])</f>
        <v>4</v>
      </c>
      <c r="D74" t="str">
        <f>TEXT(dim_date[[#This Row],[Date]],"mmmm")</f>
        <v>abril</v>
      </c>
      <c r="E74" t="str">
        <f>"Q"&amp;ROUNDUP(MONTH(dim_date[[#This Row],[Date]])/3,0)</f>
        <v>Q2</v>
      </c>
    </row>
    <row r="75" spans="1:5" x14ac:dyDescent="0.25">
      <c r="A75" s="4">
        <v>20250502</v>
      </c>
      <c r="B75" s="12" t="s">
        <v>148</v>
      </c>
      <c r="C75">
        <f>MONTH(dim_date[[#This Row],[Date]])</f>
        <v>5</v>
      </c>
      <c r="D75" t="str">
        <f>TEXT(dim_date[[#This Row],[Date]],"mmmm")</f>
        <v>mayo</v>
      </c>
      <c r="E75" t="str">
        <f>"Q"&amp;ROUNDUP(MONTH(dim_date[[#This Row],[Date]])/3,0)</f>
        <v>Q2</v>
      </c>
    </row>
    <row r="76" spans="1:5" x14ac:dyDescent="0.25">
      <c r="A76" s="6">
        <v>20250503</v>
      </c>
      <c r="B76" s="13" t="s">
        <v>149</v>
      </c>
      <c r="C76">
        <f>MONTH(dim_date[[#This Row],[Date]])</f>
        <v>5</v>
      </c>
      <c r="D76" t="str">
        <f>TEXT(dim_date[[#This Row],[Date]],"mmmm")</f>
        <v>mayo</v>
      </c>
      <c r="E76" t="str">
        <f>"Q"&amp;ROUNDUP(MONTH(dim_date[[#This Row],[Date]])/3,0)</f>
        <v>Q2</v>
      </c>
    </row>
    <row r="77" spans="1:5" x14ac:dyDescent="0.25">
      <c r="A77" s="4">
        <v>20240606</v>
      </c>
      <c r="B77" s="12" t="s">
        <v>150</v>
      </c>
      <c r="C77">
        <f>MONTH(dim_date[[#This Row],[Date]])</f>
        <v>6</v>
      </c>
      <c r="D77" t="str">
        <f>TEXT(dim_date[[#This Row],[Date]],"mmmm")</f>
        <v>junio</v>
      </c>
      <c r="E77" t="str">
        <f>"Q"&amp;ROUNDUP(MONTH(dim_date[[#This Row],[Date]])/3,0)</f>
        <v>Q2</v>
      </c>
    </row>
    <row r="78" spans="1:5" x14ac:dyDescent="0.25">
      <c r="A78" s="6">
        <v>20241119</v>
      </c>
      <c r="B78" s="13" t="s">
        <v>151</v>
      </c>
      <c r="C78">
        <f>MONTH(dim_date[[#This Row],[Date]])</f>
        <v>11</v>
      </c>
      <c r="D78" t="str">
        <f>TEXT(dim_date[[#This Row],[Date]],"mmmm")</f>
        <v>noviembre</v>
      </c>
      <c r="E78" t="str">
        <f>"Q"&amp;ROUNDUP(MONTH(dim_date[[#This Row],[Date]])/3,0)</f>
        <v>Q4</v>
      </c>
    </row>
    <row r="79" spans="1:5" x14ac:dyDescent="0.25">
      <c r="A79" s="4">
        <v>20240307</v>
      </c>
      <c r="B79" s="12" t="s">
        <v>152</v>
      </c>
      <c r="C79">
        <f>MONTH(dim_date[[#This Row],[Date]])</f>
        <v>3</v>
      </c>
      <c r="D79" t="str">
        <f>TEXT(dim_date[[#This Row],[Date]],"mmmm")</f>
        <v>marzo</v>
      </c>
      <c r="E79" t="str">
        <f>"Q"&amp;ROUNDUP(MONTH(dim_date[[#This Row],[Date]])/3,0)</f>
        <v>Q1</v>
      </c>
    </row>
    <row r="80" spans="1:5" x14ac:dyDescent="0.25">
      <c r="A80" s="6">
        <v>20240507</v>
      </c>
      <c r="B80" s="13" t="s">
        <v>153</v>
      </c>
      <c r="C80">
        <f>MONTH(dim_date[[#This Row],[Date]])</f>
        <v>5</v>
      </c>
      <c r="D80" t="str">
        <f>TEXT(dim_date[[#This Row],[Date]],"mmmm")</f>
        <v>mayo</v>
      </c>
      <c r="E80" t="str">
        <f>"Q"&amp;ROUNDUP(MONTH(dim_date[[#This Row],[Date]])/3,0)</f>
        <v>Q2</v>
      </c>
    </row>
    <row r="81" spans="1:5" x14ac:dyDescent="0.25">
      <c r="A81" s="4">
        <v>20251213</v>
      </c>
      <c r="B81" s="12" t="s">
        <v>154</v>
      </c>
      <c r="C81">
        <f>MONTH(dim_date[[#This Row],[Date]])</f>
        <v>12</v>
      </c>
      <c r="D81" t="str">
        <f>TEXT(dim_date[[#This Row],[Date]],"mmmm")</f>
        <v>diciembre</v>
      </c>
      <c r="E81" t="str">
        <f>"Q"&amp;ROUNDUP(MONTH(dim_date[[#This Row],[Date]])/3,0)</f>
        <v>Q4</v>
      </c>
    </row>
    <row r="82" spans="1:5" x14ac:dyDescent="0.25">
      <c r="A82" s="6">
        <v>20220616</v>
      </c>
      <c r="B82" s="13" t="s">
        <v>155</v>
      </c>
      <c r="C82">
        <f>MONTH(dim_date[[#This Row],[Date]])</f>
        <v>6</v>
      </c>
      <c r="D82" t="str">
        <f>TEXT(dim_date[[#This Row],[Date]],"mmmm")</f>
        <v>junio</v>
      </c>
      <c r="E82" t="str">
        <f>"Q"&amp;ROUNDUP(MONTH(dim_date[[#This Row],[Date]])/3,0)</f>
        <v>Q2</v>
      </c>
    </row>
    <row r="83" spans="1:5" x14ac:dyDescent="0.25">
      <c r="A83" s="4">
        <v>20220518</v>
      </c>
      <c r="B83" s="12" t="s">
        <v>156</v>
      </c>
      <c r="C83">
        <f>MONTH(dim_date[[#This Row],[Date]])</f>
        <v>5</v>
      </c>
      <c r="D83" t="str">
        <f>TEXT(dim_date[[#This Row],[Date]],"mmmm")</f>
        <v>mayo</v>
      </c>
      <c r="E83" t="str">
        <f>"Q"&amp;ROUNDUP(MONTH(dim_date[[#This Row],[Date]])/3,0)</f>
        <v>Q2</v>
      </c>
    </row>
    <row r="84" spans="1:5" x14ac:dyDescent="0.25">
      <c r="A84" s="6">
        <v>20221014</v>
      </c>
      <c r="B84" s="13" t="s">
        <v>157</v>
      </c>
      <c r="C84">
        <f>MONTH(dim_date[[#This Row],[Date]])</f>
        <v>10</v>
      </c>
      <c r="D84" t="str">
        <f>TEXT(dim_date[[#This Row],[Date]],"mmmm")</f>
        <v>octubre</v>
      </c>
      <c r="E84" t="str">
        <f>"Q"&amp;ROUNDUP(MONTH(dim_date[[#This Row],[Date]])/3,0)</f>
        <v>Q4</v>
      </c>
    </row>
    <row r="85" spans="1:5" x14ac:dyDescent="0.25">
      <c r="A85" s="4">
        <v>20220102</v>
      </c>
      <c r="B85" s="12" t="s">
        <v>158</v>
      </c>
      <c r="C85">
        <f>MONTH(dim_date[[#This Row],[Date]])</f>
        <v>1</v>
      </c>
      <c r="D85" t="str">
        <f>TEXT(dim_date[[#This Row],[Date]],"mmmm")</f>
        <v>enero</v>
      </c>
      <c r="E85" t="str">
        <f>"Q"&amp;ROUNDUP(MONTH(dim_date[[#This Row],[Date]])/3,0)</f>
        <v>Q1</v>
      </c>
    </row>
    <row r="86" spans="1:5" x14ac:dyDescent="0.25">
      <c r="A86" s="6">
        <v>20220618</v>
      </c>
      <c r="B86" s="13" t="s">
        <v>159</v>
      </c>
      <c r="C86">
        <f>MONTH(dim_date[[#This Row],[Date]])</f>
        <v>6</v>
      </c>
      <c r="D86" t="str">
        <f>TEXT(dim_date[[#This Row],[Date]],"mmmm")</f>
        <v>junio</v>
      </c>
      <c r="E86" t="str">
        <f>"Q"&amp;ROUNDUP(MONTH(dim_date[[#This Row],[Date]])/3,0)</f>
        <v>Q2</v>
      </c>
    </row>
    <row r="87" spans="1:5" x14ac:dyDescent="0.25">
      <c r="A87" s="4">
        <v>20240308</v>
      </c>
      <c r="B87" s="12" t="s">
        <v>160</v>
      </c>
      <c r="C87">
        <f>MONTH(dim_date[[#This Row],[Date]])</f>
        <v>3</v>
      </c>
      <c r="D87" t="str">
        <f>TEXT(dim_date[[#This Row],[Date]],"mmmm")</f>
        <v>marzo</v>
      </c>
      <c r="E87" t="str">
        <f>"Q"&amp;ROUNDUP(MONTH(dim_date[[#This Row],[Date]])/3,0)</f>
        <v>Q1</v>
      </c>
    </row>
    <row r="88" spans="1:5" x14ac:dyDescent="0.25">
      <c r="A88" s="6">
        <v>20220916</v>
      </c>
      <c r="B88" s="13" t="s">
        <v>161</v>
      </c>
      <c r="C88">
        <f>MONTH(dim_date[[#This Row],[Date]])</f>
        <v>9</v>
      </c>
      <c r="D88" t="str">
        <f>TEXT(dim_date[[#This Row],[Date]],"mmmm")</f>
        <v>septiembre</v>
      </c>
      <c r="E88" t="str">
        <f>"Q"&amp;ROUNDUP(MONTH(dim_date[[#This Row],[Date]])/3,0)</f>
        <v>Q3</v>
      </c>
    </row>
    <row r="89" spans="1:5" x14ac:dyDescent="0.25">
      <c r="A89" s="4">
        <v>20230328</v>
      </c>
      <c r="B89" s="12" t="s">
        <v>162</v>
      </c>
      <c r="C89">
        <f>MONTH(dim_date[[#This Row],[Date]])</f>
        <v>3</v>
      </c>
      <c r="D89" t="str">
        <f>TEXT(dim_date[[#This Row],[Date]],"mmmm")</f>
        <v>marzo</v>
      </c>
      <c r="E89" t="str">
        <f>"Q"&amp;ROUNDUP(MONTH(dim_date[[#This Row],[Date]])/3,0)</f>
        <v>Q1</v>
      </c>
    </row>
    <row r="90" spans="1:5" x14ac:dyDescent="0.25">
      <c r="A90" s="6">
        <v>20220703</v>
      </c>
      <c r="B90" s="13" t="s">
        <v>163</v>
      </c>
      <c r="C90">
        <f>MONTH(dim_date[[#This Row],[Date]])</f>
        <v>7</v>
      </c>
      <c r="D90" t="str">
        <f>TEXT(dim_date[[#This Row],[Date]],"mmmm")</f>
        <v>julio</v>
      </c>
      <c r="E90" t="str">
        <f>"Q"&amp;ROUNDUP(MONTH(dim_date[[#This Row],[Date]])/3,0)</f>
        <v>Q3</v>
      </c>
    </row>
    <row r="91" spans="1:5" x14ac:dyDescent="0.25">
      <c r="A91" s="4">
        <v>20251228</v>
      </c>
      <c r="B91" s="12" t="s">
        <v>164</v>
      </c>
      <c r="C91">
        <f>MONTH(dim_date[[#This Row],[Date]])</f>
        <v>12</v>
      </c>
      <c r="D91" t="str">
        <f>TEXT(dim_date[[#This Row],[Date]],"mmmm")</f>
        <v>diciembre</v>
      </c>
      <c r="E91" t="str">
        <f>"Q"&amp;ROUNDUP(MONTH(dim_date[[#This Row],[Date]])/3,0)</f>
        <v>Q4</v>
      </c>
    </row>
    <row r="92" spans="1:5" x14ac:dyDescent="0.25">
      <c r="A92" s="6">
        <v>20250616</v>
      </c>
      <c r="B92" s="13" t="s">
        <v>165</v>
      </c>
      <c r="C92">
        <f>MONTH(dim_date[[#This Row],[Date]])</f>
        <v>6</v>
      </c>
      <c r="D92" t="str">
        <f>TEXT(dim_date[[#This Row],[Date]],"mmmm")</f>
        <v>junio</v>
      </c>
      <c r="E92" t="str">
        <f>"Q"&amp;ROUNDUP(MONTH(dim_date[[#This Row],[Date]])/3,0)</f>
        <v>Q2</v>
      </c>
    </row>
    <row r="93" spans="1:5" x14ac:dyDescent="0.25">
      <c r="A93" s="4">
        <v>20240107</v>
      </c>
      <c r="B93" s="12" t="s">
        <v>166</v>
      </c>
      <c r="C93">
        <f>MONTH(dim_date[[#This Row],[Date]])</f>
        <v>1</v>
      </c>
      <c r="D93" t="str">
        <f>TEXT(dim_date[[#This Row],[Date]],"mmmm")</f>
        <v>enero</v>
      </c>
      <c r="E93" t="str">
        <f>"Q"&amp;ROUNDUP(MONTH(dim_date[[#This Row],[Date]])/3,0)</f>
        <v>Q1</v>
      </c>
    </row>
    <row r="94" spans="1:5" x14ac:dyDescent="0.25">
      <c r="A94" s="6">
        <v>20230527</v>
      </c>
      <c r="B94" s="13" t="s">
        <v>167</v>
      </c>
      <c r="C94">
        <f>MONTH(dim_date[[#This Row],[Date]])</f>
        <v>5</v>
      </c>
      <c r="D94" t="str">
        <f>TEXT(dim_date[[#This Row],[Date]],"mmmm")</f>
        <v>mayo</v>
      </c>
      <c r="E94" t="str">
        <f>"Q"&amp;ROUNDUP(MONTH(dim_date[[#This Row],[Date]])/3,0)</f>
        <v>Q2</v>
      </c>
    </row>
    <row r="95" spans="1:5" x14ac:dyDescent="0.25">
      <c r="A95" s="4">
        <v>20220603</v>
      </c>
      <c r="B95" s="12" t="s">
        <v>168</v>
      </c>
      <c r="C95">
        <f>MONTH(dim_date[[#This Row],[Date]])</f>
        <v>6</v>
      </c>
      <c r="D95" t="str">
        <f>TEXT(dim_date[[#This Row],[Date]],"mmmm")</f>
        <v>junio</v>
      </c>
      <c r="E95" t="str">
        <f>"Q"&amp;ROUNDUP(MONTH(dim_date[[#This Row],[Date]])/3,0)</f>
        <v>Q2</v>
      </c>
    </row>
    <row r="96" spans="1:5" x14ac:dyDescent="0.25">
      <c r="A96" s="6">
        <v>20220218</v>
      </c>
      <c r="B96" s="13" t="s">
        <v>169</v>
      </c>
      <c r="C96">
        <f>MONTH(dim_date[[#This Row],[Date]])</f>
        <v>2</v>
      </c>
      <c r="D96" t="str">
        <f>TEXT(dim_date[[#This Row],[Date]],"mmmm")</f>
        <v>febrero</v>
      </c>
      <c r="E96" t="str">
        <f>"Q"&amp;ROUNDUP(MONTH(dim_date[[#This Row],[Date]])/3,0)</f>
        <v>Q1</v>
      </c>
    </row>
    <row r="97" spans="1:5" x14ac:dyDescent="0.25">
      <c r="A97" s="4">
        <v>20240221</v>
      </c>
      <c r="B97" s="12" t="s">
        <v>170</v>
      </c>
      <c r="C97">
        <f>MONTH(dim_date[[#This Row],[Date]])</f>
        <v>2</v>
      </c>
      <c r="D97" t="str">
        <f>TEXT(dim_date[[#This Row],[Date]],"mmmm")</f>
        <v>febrero</v>
      </c>
      <c r="E97" t="str">
        <f>"Q"&amp;ROUNDUP(MONTH(dim_date[[#This Row],[Date]])/3,0)</f>
        <v>Q1</v>
      </c>
    </row>
    <row r="98" spans="1:5" x14ac:dyDescent="0.25">
      <c r="A98" s="4">
        <v>20241019</v>
      </c>
      <c r="B98" s="12" t="s">
        <v>171</v>
      </c>
      <c r="C98">
        <f>MONTH(dim_date[[#This Row],[Date]])</f>
        <v>10</v>
      </c>
      <c r="D98" t="str">
        <f>TEXT(dim_date[[#This Row],[Date]],"mmmm")</f>
        <v>octubre</v>
      </c>
      <c r="E98" t="str">
        <f>"Q"&amp;ROUNDUP(MONTH(dim_date[[#This Row],[Date]])/3,0)</f>
        <v>Q4</v>
      </c>
    </row>
    <row r="99" spans="1:5" x14ac:dyDescent="0.25">
      <c r="A99" s="6">
        <v>20230529</v>
      </c>
      <c r="B99" s="13" t="s">
        <v>172</v>
      </c>
      <c r="C99">
        <f>MONTH(dim_date[[#This Row],[Date]])</f>
        <v>5</v>
      </c>
      <c r="D99" t="str">
        <f>TEXT(dim_date[[#This Row],[Date]],"mmmm")</f>
        <v>mayo</v>
      </c>
      <c r="E99" t="str">
        <f>"Q"&amp;ROUNDUP(MONTH(dim_date[[#This Row],[Date]])/3,0)</f>
        <v>Q2</v>
      </c>
    </row>
    <row r="100" spans="1:5" x14ac:dyDescent="0.25">
      <c r="A100" s="4">
        <v>20250302</v>
      </c>
      <c r="B100" s="12" t="s">
        <v>173</v>
      </c>
      <c r="C100">
        <f>MONTH(dim_date[[#This Row],[Date]])</f>
        <v>3</v>
      </c>
      <c r="D100" t="str">
        <f>TEXT(dim_date[[#This Row],[Date]],"mmmm")</f>
        <v>marzo</v>
      </c>
      <c r="E100" t="str">
        <f>"Q"&amp;ROUNDUP(MONTH(dim_date[[#This Row],[Date]])/3,0)</f>
        <v>Q1</v>
      </c>
    </row>
    <row r="101" spans="1:5" x14ac:dyDescent="0.25">
      <c r="A101" s="8">
        <v>20220304</v>
      </c>
      <c r="B101" s="14" t="s">
        <v>174</v>
      </c>
      <c r="C101">
        <f>MONTH(dim_date[[#This Row],[Date]])</f>
        <v>3</v>
      </c>
      <c r="D101" t="str">
        <f>TEXT(dim_date[[#This Row],[Date]],"mmmm")</f>
        <v>marzo</v>
      </c>
      <c r="E101" t="str">
        <f>"Q"&amp;ROUNDUP(MONTH(dim_date[[#This Row],[Date]])/3,0)</f>
        <v>Q1</v>
      </c>
    </row>
    <row r="102" spans="1:5" x14ac:dyDescent="0.25">
      <c r="A102" s="4">
        <v>20220915</v>
      </c>
      <c r="B102" s="12" t="s">
        <v>175</v>
      </c>
      <c r="C102">
        <f>MONTH(dim_date[[#This Row],[Date]])</f>
        <v>9</v>
      </c>
      <c r="D102" t="str">
        <f>TEXT(dim_date[[#This Row],[Date]],"mmmm")</f>
        <v>septiembre</v>
      </c>
      <c r="E102" t="str">
        <f>"Q"&amp;ROUNDUP(MONTH(dim_date[[#This Row],[Date]])/3,0)</f>
        <v>Q3</v>
      </c>
    </row>
    <row r="103" spans="1:5" x14ac:dyDescent="0.25">
      <c r="A103" s="6">
        <v>20241018</v>
      </c>
      <c r="B103" s="13" t="s">
        <v>176</v>
      </c>
      <c r="C103">
        <f>MONTH(dim_date[[#This Row],[Date]])</f>
        <v>10</v>
      </c>
      <c r="D103" t="str">
        <f>TEXT(dim_date[[#This Row],[Date]],"mmmm")</f>
        <v>octubre</v>
      </c>
      <c r="E103" t="str">
        <f>"Q"&amp;ROUNDUP(MONTH(dim_date[[#This Row],[Date]])/3,0)</f>
        <v>Q4</v>
      </c>
    </row>
    <row r="104" spans="1:5" x14ac:dyDescent="0.25">
      <c r="A104" s="4">
        <v>20240905</v>
      </c>
      <c r="B104" s="12" t="s">
        <v>177</v>
      </c>
      <c r="C104">
        <f>MONTH(dim_date[[#This Row],[Date]])</f>
        <v>9</v>
      </c>
      <c r="D104" t="str">
        <f>TEXT(dim_date[[#This Row],[Date]],"mmmm")</f>
        <v>septiembre</v>
      </c>
      <c r="E104" t="str">
        <f>"Q"&amp;ROUNDUP(MONTH(dim_date[[#This Row],[Date]])/3,0)</f>
        <v>Q3</v>
      </c>
    </row>
    <row r="105" spans="1:5" x14ac:dyDescent="0.25">
      <c r="A105" s="6">
        <v>20221228</v>
      </c>
      <c r="B105" s="13" t="s">
        <v>178</v>
      </c>
      <c r="C105">
        <f>MONTH(dim_date[[#This Row],[Date]])</f>
        <v>12</v>
      </c>
      <c r="D105" t="str">
        <f>TEXT(dim_date[[#This Row],[Date]],"mmmm")</f>
        <v>diciembre</v>
      </c>
      <c r="E105" t="str">
        <f>"Q"&amp;ROUNDUP(MONTH(dim_date[[#This Row],[Date]])/3,0)</f>
        <v>Q4</v>
      </c>
    </row>
    <row r="106" spans="1:5" x14ac:dyDescent="0.25">
      <c r="A106" s="4">
        <v>20221229</v>
      </c>
      <c r="B106" s="12" t="s">
        <v>179</v>
      </c>
      <c r="C106">
        <f>MONTH(dim_date[[#This Row],[Date]])</f>
        <v>12</v>
      </c>
      <c r="D106" t="str">
        <f>TEXT(dim_date[[#This Row],[Date]],"mmmm")</f>
        <v>diciembre</v>
      </c>
      <c r="E106" t="str">
        <f>"Q"&amp;ROUNDUP(MONTH(dim_date[[#This Row],[Date]])/3,0)</f>
        <v>Q4</v>
      </c>
    </row>
    <row r="107" spans="1:5" x14ac:dyDescent="0.25">
      <c r="A107" s="6">
        <v>20250915</v>
      </c>
      <c r="B107" s="13" t="s">
        <v>180</v>
      </c>
      <c r="C107">
        <f>MONTH(dim_date[[#This Row],[Date]])</f>
        <v>9</v>
      </c>
      <c r="D107" t="str">
        <f>TEXT(dim_date[[#This Row],[Date]],"mmmm")</f>
        <v>septiembre</v>
      </c>
      <c r="E107" t="str">
        <f>"Q"&amp;ROUNDUP(MONTH(dim_date[[#This Row],[Date]])/3,0)</f>
        <v>Q3</v>
      </c>
    </row>
    <row r="108" spans="1:5" x14ac:dyDescent="0.25">
      <c r="A108" s="4">
        <v>20220731</v>
      </c>
      <c r="B108" s="12" t="s">
        <v>181</v>
      </c>
      <c r="C108">
        <f>MONTH(dim_date[[#This Row],[Date]])</f>
        <v>7</v>
      </c>
      <c r="D108" t="str">
        <f>TEXT(dim_date[[#This Row],[Date]],"mmmm")</f>
        <v>julio</v>
      </c>
      <c r="E108" t="str">
        <f>"Q"&amp;ROUNDUP(MONTH(dim_date[[#This Row],[Date]])/3,0)</f>
        <v>Q3</v>
      </c>
    </row>
    <row r="109" spans="1:5" x14ac:dyDescent="0.25">
      <c r="A109" s="6">
        <v>20220404</v>
      </c>
      <c r="B109" s="13" t="s">
        <v>182</v>
      </c>
      <c r="C109">
        <f>MONTH(dim_date[[#This Row],[Date]])</f>
        <v>4</v>
      </c>
      <c r="D109" t="str">
        <f>TEXT(dim_date[[#This Row],[Date]],"mmmm")</f>
        <v>abril</v>
      </c>
      <c r="E109" t="str">
        <f>"Q"&amp;ROUNDUP(MONTH(dim_date[[#This Row],[Date]])/3,0)</f>
        <v>Q2</v>
      </c>
    </row>
    <row r="110" spans="1:5" x14ac:dyDescent="0.25">
      <c r="A110" s="4">
        <v>20220831</v>
      </c>
      <c r="B110" s="12" t="s">
        <v>183</v>
      </c>
      <c r="C110">
        <f>MONTH(dim_date[[#This Row],[Date]])</f>
        <v>8</v>
      </c>
      <c r="D110" t="str">
        <f>TEXT(dim_date[[#This Row],[Date]],"mmmm")</f>
        <v>agosto</v>
      </c>
      <c r="E110" t="str">
        <f>"Q"&amp;ROUNDUP(MONTH(dim_date[[#This Row],[Date]])/3,0)</f>
        <v>Q3</v>
      </c>
    </row>
    <row r="111" spans="1:5" x14ac:dyDescent="0.25">
      <c r="A111" s="6">
        <v>20250317</v>
      </c>
      <c r="B111" s="13" t="s">
        <v>184</v>
      </c>
      <c r="C111">
        <f>MONTH(dim_date[[#This Row],[Date]])</f>
        <v>3</v>
      </c>
      <c r="D111" t="str">
        <f>TEXT(dim_date[[#This Row],[Date]],"mmmm")</f>
        <v>marzo</v>
      </c>
      <c r="E111" t="str">
        <f>"Q"&amp;ROUNDUP(MONTH(dim_date[[#This Row],[Date]])/3,0)</f>
        <v>Q1</v>
      </c>
    </row>
    <row r="112" spans="1:5" x14ac:dyDescent="0.25">
      <c r="A112" s="4">
        <v>20221214</v>
      </c>
      <c r="B112" s="12" t="s">
        <v>185</v>
      </c>
      <c r="C112">
        <f>MONTH(dim_date[[#This Row],[Date]])</f>
        <v>12</v>
      </c>
      <c r="D112" t="str">
        <f>TEXT(dim_date[[#This Row],[Date]],"mmmm")</f>
        <v>diciembre</v>
      </c>
      <c r="E112" t="str">
        <f>"Q"&amp;ROUNDUP(MONTH(dim_date[[#This Row],[Date]])/3,0)</f>
        <v>Q4</v>
      </c>
    </row>
    <row r="113" spans="1:5" x14ac:dyDescent="0.25">
      <c r="A113" s="6">
        <v>20240605</v>
      </c>
      <c r="B113" s="13" t="s">
        <v>186</v>
      </c>
      <c r="C113">
        <f>MONTH(dim_date[[#This Row],[Date]])</f>
        <v>6</v>
      </c>
      <c r="D113" t="str">
        <f>TEXT(dim_date[[#This Row],[Date]],"mmmm")</f>
        <v>junio</v>
      </c>
      <c r="E113" t="str">
        <f>"Q"&amp;ROUNDUP(MONTH(dim_date[[#This Row],[Date]])/3,0)</f>
        <v>Q2</v>
      </c>
    </row>
    <row r="114" spans="1:5" x14ac:dyDescent="0.25">
      <c r="A114" s="4">
        <v>20250304</v>
      </c>
      <c r="B114" s="12" t="s">
        <v>187</v>
      </c>
      <c r="C114">
        <f>MONTH(dim_date[[#This Row],[Date]])</f>
        <v>3</v>
      </c>
      <c r="D114" t="str">
        <f>TEXT(dim_date[[#This Row],[Date]],"mmmm")</f>
        <v>marzo</v>
      </c>
      <c r="E114" t="str">
        <f>"Q"&amp;ROUNDUP(MONTH(dim_date[[#This Row],[Date]])/3,0)</f>
        <v>Q1</v>
      </c>
    </row>
    <row r="115" spans="1:5" x14ac:dyDescent="0.25">
      <c r="A115" s="4">
        <v>20241104</v>
      </c>
      <c r="B115" s="12" t="s">
        <v>188</v>
      </c>
      <c r="C115">
        <f>MONTH(dim_date[[#This Row],[Date]])</f>
        <v>11</v>
      </c>
      <c r="D115" t="str">
        <f>TEXT(dim_date[[#This Row],[Date]],"mmmm")</f>
        <v>noviembre</v>
      </c>
      <c r="E115" t="str">
        <f>"Q"&amp;ROUNDUP(MONTH(dim_date[[#This Row],[Date]])/3,0)</f>
        <v>Q4</v>
      </c>
    </row>
    <row r="116" spans="1:5" x14ac:dyDescent="0.25">
      <c r="A116" s="6">
        <v>20250630</v>
      </c>
      <c r="B116" s="13" t="s">
        <v>189</v>
      </c>
      <c r="C116">
        <f>MONTH(dim_date[[#This Row],[Date]])</f>
        <v>6</v>
      </c>
      <c r="D116" t="str">
        <f>TEXT(dim_date[[#This Row],[Date]],"mmmm")</f>
        <v>junio</v>
      </c>
      <c r="E116" t="str">
        <f>"Q"&amp;ROUNDUP(MONTH(dim_date[[#This Row],[Date]])/3,0)</f>
        <v>Q2</v>
      </c>
    </row>
    <row r="117" spans="1:5" x14ac:dyDescent="0.25">
      <c r="A117" s="4">
        <v>20220702</v>
      </c>
      <c r="B117" s="12" t="s">
        <v>190</v>
      </c>
      <c r="C117">
        <f>MONTH(dim_date[[#This Row],[Date]])</f>
        <v>7</v>
      </c>
      <c r="D117" t="str">
        <f>TEXT(dim_date[[#This Row],[Date]],"mmmm")</f>
        <v>julio</v>
      </c>
      <c r="E117" t="str">
        <f>"Q"&amp;ROUNDUP(MONTH(dim_date[[#This Row],[Date]])/3,0)</f>
        <v>Q3</v>
      </c>
    </row>
    <row r="118" spans="1:5" x14ac:dyDescent="0.25">
      <c r="A118" s="6">
        <v>20250103</v>
      </c>
      <c r="B118" s="13" t="s">
        <v>191</v>
      </c>
      <c r="C118">
        <f>MONTH(dim_date[[#This Row],[Date]])</f>
        <v>1</v>
      </c>
      <c r="D118" t="str">
        <f>TEXT(dim_date[[#This Row],[Date]],"mmmm")</f>
        <v>enero</v>
      </c>
      <c r="E118" t="str">
        <f>"Q"&amp;ROUNDUP(MONTH(dim_date[[#This Row],[Date]])/3,0)</f>
        <v>Q1</v>
      </c>
    </row>
    <row r="119" spans="1:5" x14ac:dyDescent="0.25">
      <c r="A119" s="4">
        <v>20250131</v>
      </c>
      <c r="B119" s="12" t="s">
        <v>192</v>
      </c>
      <c r="C119">
        <f>MONTH(dim_date[[#This Row],[Date]])</f>
        <v>1</v>
      </c>
      <c r="D119" t="str">
        <f>TEXT(dim_date[[#This Row],[Date]],"mmmm")</f>
        <v>enero</v>
      </c>
      <c r="E119" t="str">
        <f>"Q"&amp;ROUNDUP(MONTH(dim_date[[#This Row],[Date]])/3,0)</f>
        <v>Q1</v>
      </c>
    </row>
    <row r="120" spans="1:5" x14ac:dyDescent="0.25">
      <c r="A120" s="6">
        <v>20220701</v>
      </c>
      <c r="B120" s="13" t="s">
        <v>193</v>
      </c>
      <c r="C120">
        <f>MONTH(dim_date[[#This Row],[Date]])</f>
        <v>7</v>
      </c>
      <c r="D120" t="str">
        <f>TEXT(dim_date[[#This Row],[Date]],"mmmm")</f>
        <v>julio</v>
      </c>
      <c r="E120" t="str">
        <f>"Q"&amp;ROUNDUP(MONTH(dim_date[[#This Row],[Date]])/3,0)</f>
        <v>Q3</v>
      </c>
    </row>
    <row r="121" spans="1:5" x14ac:dyDescent="0.25">
      <c r="A121" s="4">
        <v>20220801</v>
      </c>
      <c r="B121" s="12" t="s">
        <v>194</v>
      </c>
      <c r="C121">
        <f>MONTH(dim_date[[#This Row],[Date]])</f>
        <v>8</v>
      </c>
      <c r="D121" t="str">
        <f>TEXT(dim_date[[#This Row],[Date]],"mmmm")</f>
        <v>agosto</v>
      </c>
      <c r="E121" t="str">
        <f>"Q"&amp;ROUNDUP(MONTH(dim_date[[#This Row],[Date]])/3,0)</f>
        <v>Q3</v>
      </c>
    </row>
    <row r="122" spans="1:5" x14ac:dyDescent="0.25">
      <c r="A122" s="6">
        <v>20230213</v>
      </c>
      <c r="B122" s="13" t="s">
        <v>195</v>
      </c>
      <c r="C122">
        <f>MONTH(dim_date[[#This Row],[Date]])</f>
        <v>2</v>
      </c>
      <c r="D122" t="str">
        <f>TEXT(dim_date[[#This Row],[Date]],"mmmm")</f>
        <v>febrero</v>
      </c>
      <c r="E122" t="str">
        <f>"Q"&amp;ROUNDUP(MONTH(dim_date[[#This Row],[Date]])/3,0)</f>
        <v>Q1</v>
      </c>
    </row>
    <row r="123" spans="1:5" x14ac:dyDescent="0.25">
      <c r="A123" s="4">
        <v>20230627</v>
      </c>
      <c r="B123" s="12" t="s">
        <v>196</v>
      </c>
      <c r="C123">
        <f>MONTH(dim_date[[#This Row],[Date]])</f>
        <v>6</v>
      </c>
      <c r="D123" t="str">
        <f>TEXT(dim_date[[#This Row],[Date]],"mmmm")</f>
        <v>junio</v>
      </c>
      <c r="E123" t="str">
        <f>"Q"&amp;ROUNDUP(MONTH(dim_date[[#This Row],[Date]])/3,0)</f>
        <v>Q2</v>
      </c>
    </row>
    <row r="124" spans="1:5" x14ac:dyDescent="0.25">
      <c r="A124" s="4">
        <v>20250701</v>
      </c>
      <c r="B124" s="12" t="s">
        <v>197</v>
      </c>
      <c r="C124">
        <f>MONTH(dim_date[[#This Row],[Date]])</f>
        <v>7</v>
      </c>
      <c r="D124" t="str">
        <f>TEXT(dim_date[[#This Row],[Date]],"mmmm")</f>
        <v>julio</v>
      </c>
      <c r="E124" t="str">
        <f>"Q"&amp;ROUNDUP(MONTH(dim_date[[#This Row],[Date]])/3,0)</f>
        <v>Q3</v>
      </c>
    </row>
    <row r="125" spans="1:5" x14ac:dyDescent="0.25">
      <c r="A125" s="6">
        <v>20250403</v>
      </c>
      <c r="B125" s="13" t="s">
        <v>198</v>
      </c>
      <c r="C125">
        <f>MONTH(dim_date[[#This Row],[Date]])</f>
        <v>4</v>
      </c>
      <c r="D125" t="str">
        <f>TEXT(dim_date[[#This Row],[Date]],"mmmm")</f>
        <v>abril</v>
      </c>
      <c r="E125" t="str">
        <f>"Q"&amp;ROUNDUP(MONTH(dim_date[[#This Row],[Date]])/3,0)</f>
        <v>Q2</v>
      </c>
    </row>
    <row r="126" spans="1:5" x14ac:dyDescent="0.25">
      <c r="A126" s="4">
        <v>20240707</v>
      </c>
      <c r="B126" s="12" t="s">
        <v>199</v>
      </c>
      <c r="C126">
        <f>MONTH(dim_date[[#This Row],[Date]])</f>
        <v>7</v>
      </c>
      <c r="D126" t="str">
        <f>TEXT(dim_date[[#This Row],[Date]],"mmmm")</f>
        <v>julio</v>
      </c>
      <c r="E126" t="str">
        <f>"Q"&amp;ROUNDUP(MONTH(dim_date[[#This Row],[Date]])/3,0)</f>
        <v>Q3</v>
      </c>
    </row>
    <row r="127" spans="1:5" x14ac:dyDescent="0.25">
      <c r="A127" s="4">
        <v>20240408</v>
      </c>
      <c r="B127" s="12" t="s">
        <v>200</v>
      </c>
      <c r="C127">
        <f>MONTH(dim_date[[#This Row],[Date]])</f>
        <v>4</v>
      </c>
      <c r="D127" t="str">
        <f>TEXT(dim_date[[#This Row],[Date]],"mmmm")</f>
        <v>abril</v>
      </c>
      <c r="E127" t="str">
        <f>"Q"&amp;ROUNDUP(MONTH(dim_date[[#This Row],[Date]])/3,0)</f>
        <v>Q2</v>
      </c>
    </row>
    <row r="128" spans="1:5" x14ac:dyDescent="0.25">
      <c r="A128" s="6">
        <v>20250602</v>
      </c>
      <c r="B128" s="13" t="s">
        <v>201</v>
      </c>
      <c r="C128">
        <f>MONTH(dim_date[[#This Row],[Date]])</f>
        <v>6</v>
      </c>
      <c r="D128" t="str">
        <f>TEXT(dim_date[[#This Row],[Date]],"mmmm")</f>
        <v>junio</v>
      </c>
      <c r="E128" t="str">
        <f>"Q"&amp;ROUNDUP(MONTH(dim_date[[#This Row],[Date]])/3,0)</f>
        <v>Q2</v>
      </c>
    </row>
    <row r="129" spans="1:5" x14ac:dyDescent="0.25">
      <c r="A129" s="4">
        <v>20240903</v>
      </c>
      <c r="B129" s="12" t="s">
        <v>202</v>
      </c>
      <c r="C129">
        <f>MONTH(dim_date[[#This Row],[Date]])</f>
        <v>9</v>
      </c>
      <c r="D129" t="str">
        <f>TEXT(dim_date[[#This Row],[Date]],"mmmm")</f>
        <v>septiembre</v>
      </c>
      <c r="E129" t="str">
        <f>"Q"&amp;ROUNDUP(MONTH(dim_date[[#This Row],[Date]])/3,0)</f>
        <v>Q3</v>
      </c>
    </row>
    <row r="130" spans="1:5" x14ac:dyDescent="0.25">
      <c r="A130" s="6">
        <v>20240123</v>
      </c>
      <c r="B130" s="13" t="s">
        <v>203</v>
      </c>
      <c r="C130">
        <f>MONTH(dim_date[[#This Row],[Date]])</f>
        <v>1</v>
      </c>
      <c r="D130" t="str">
        <f>TEXT(dim_date[[#This Row],[Date]],"mmmm")</f>
        <v>enero</v>
      </c>
      <c r="E130" t="str">
        <f>"Q"&amp;ROUNDUP(MONTH(dim_date[[#This Row],[Date]])/3,0)</f>
        <v>Q1</v>
      </c>
    </row>
    <row r="131" spans="1:5" x14ac:dyDescent="0.25">
      <c r="A131" s="4">
        <v>20230228</v>
      </c>
      <c r="B131" s="12" t="s">
        <v>204</v>
      </c>
      <c r="C131">
        <f>MONTH(dim_date[[#This Row],[Date]])</f>
        <v>2</v>
      </c>
      <c r="D131" t="str">
        <f>TEXT(dim_date[[#This Row],[Date]],"mmmm")</f>
        <v>febrero</v>
      </c>
      <c r="E131" t="str">
        <f>"Q"&amp;ROUNDUP(MONTH(dim_date[[#This Row],[Date]])/3,0)</f>
        <v>Q1</v>
      </c>
    </row>
    <row r="132" spans="1:5" x14ac:dyDescent="0.25">
      <c r="A132" s="6">
        <v>20240208</v>
      </c>
      <c r="B132" s="13" t="s">
        <v>205</v>
      </c>
      <c r="C132">
        <f>MONTH(dim_date[[#This Row],[Date]])</f>
        <v>2</v>
      </c>
      <c r="D132" t="str">
        <f>TEXT(dim_date[[#This Row],[Date]],"mmmm")</f>
        <v>febrero</v>
      </c>
      <c r="E132" t="str">
        <f>"Q"&amp;ROUNDUP(MONTH(dim_date[[#This Row],[Date]])/3,0)</f>
        <v>Q1</v>
      </c>
    </row>
    <row r="133" spans="1:5" x14ac:dyDescent="0.25">
      <c r="A133" s="4">
        <v>20250202</v>
      </c>
      <c r="B133" s="12" t="s">
        <v>206</v>
      </c>
      <c r="C133">
        <f>MONTH(dim_date[[#This Row],[Date]])</f>
        <v>2</v>
      </c>
      <c r="D133" t="str">
        <f>TEXT(dim_date[[#This Row],[Date]],"mmmm")</f>
        <v>febrero</v>
      </c>
      <c r="E133" t="str">
        <f>"Q"&amp;ROUNDUP(MONTH(dim_date[[#This Row],[Date]])/3,0)</f>
        <v>Q1</v>
      </c>
    </row>
    <row r="134" spans="1:5" x14ac:dyDescent="0.25">
      <c r="A134" s="6">
        <v>20250615</v>
      </c>
      <c r="B134" s="13" t="s">
        <v>207</v>
      </c>
      <c r="C134">
        <f>MONTH(dim_date[[#This Row],[Date]])</f>
        <v>6</v>
      </c>
      <c r="D134" t="str">
        <f>TEXT(dim_date[[#This Row],[Date]],"mmmm")</f>
        <v>junio</v>
      </c>
      <c r="E134" t="str">
        <f>"Q"&amp;ROUNDUP(MONTH(dim_date[[#This Row],[Date]])/3,0)</f>
        <v>Q2</v>
      </c>
    </row>
    <row r="135" spans="1:5" x14ac:dyDescent="0.25">
      <c r="A135" s="6">
        <v>20220303</v>
      </c>
      <c r="B135" s="13" t="s">
        <v>208</v>
      </c>
      <c r="C135">
        <f>MONTH(dim_date[[#This Row],[Date]])</f>
        <v>3</v>
      </c>
      <c r="D135" t="str">
        <f>TEXT(dim_date[[#This Row],[Date]],"mmmm")</f>
        <v>marzo</v>
      </c>
      <c r="E135" t="str">
        <f>"Q"&amp;ROUNDUP(MONTH(dim_date[[#This Row],[Date]])/3,0)</f>
        <v>Q1</v>
      </c>
    </row>
    <row r="136" spans="1:5" x14ac:dyDescent="0.25">
      <c r="A136" s="4">
        <v>20230712</v>
      </c>
      <c r="B136" s="12" t="s">
        <v>209</v>
      </c>
      <c r="C136">
        <f>MONTH(dim_date[[#This Row],[Date]])</f>
        <v>7</v>
      </c>
      <c r="D136" t="str">
        <f>TEXT(dim_date[[#This Row],[Date]],"mmmm")</f>
        <v>julio</v>
      </c>
      <c r="E136" t="str">
        <f>"Q"&amp;ROUNDUP(MONTH(dim_date[[#This Row],[Date]])/3,0)</f>
        <v>Q3</v>
      </c>
    </row>
    <row r="137" spans="1:5" x14ac:dyDescent="0.25">
      <c r="A137" s="6">
        <v>20220617</v>
      </c>
      <c r="B137" s="13" t="s">
        <v>210</v>
      </c>
      <c r="C137">
        <f>MONTH(dim_date[[#This Row],[Date]])</f>
        <v>6</v>
      </c>
      <c r="D137" t="str">
        <f>TEXT(dim_date[[#This Row],[Date]],"mmmm")</f>
        <v>junio</v>
      </c>
      <c r="E137" t="str">
        <f>"Q"&amp;ROUNDUP(MONTH(dim_date[[#This Row],[Date]])/3,0)</f>
        <v>Q2</v>
      </c>
    </row>
    <row r="138" spans="1:5" x14ac:dyDescent="0.25">
      <c r="A138" s="4">
        <v>20240122</v>
      </c>
      <c r="B138" s="12" t="s">
        <v>211</v>
      </c>
      <c r="C138">
        <f>MONTH(dim_date[[#This Row],[Date]])</f>
        <v>1</v>
      </c>
      <c r="D138" t="str">
        <f>TEXT(dim_date[[#This Row],[Date]],"mmmm")</f>
        <v>enero</v>
      </c>
      <c r="E138" t="str">
        <f>"Q"&amp;ROUNDUP(MONTH(dim_date[[#This Row],[Date]])/3,0)</f>
        <v>Q1</v>
      </c>
    </row>
    <row r="139" spans="1:5" x14ac:dyDescent="0.25">
      <c r="A139" s="4">
        <v>20220503</v>
      </c>
      <c r="B139" s="12" t="s">
        <v>212</v>
      </c>
      <c r="C139">
        <f>MONTH(dim_date[[#This Row],[Date]])</f>
        <v>5</v>
      </c>
      <c r="D139" t="str">
        <f>TEXT(dim_date[[#This Row],[Date]],"mmmm")</f>
        <v>mayo</v>
      </c>
      <c r="E139" t="str">
        <f>"Q"&amp;ROUNDUP(MONTH(dim_date[[#This Row],[Date]])/3,0)</f>
        <v>Q2</v>
      </c>
    </row>
    <row r="140" spans="1:5" x14ac:dyDescent="0.25">
      <c r="A140" s="4">
        <v>20220717</v>
      </c>
      <c r="B140" s="12" t="s">
        <v>213</v>
      </c>
      <c r="C140">
        <f>MONTH(dim_date[[#This Row],[Date]])</f>
        <v>7</v>
      </c>
      <c r="D140" t="str">
        <f>TEXT(dim_date[[#This Row],[Date]],"mmmm")</f>
        <v>julio</v>
      </c>
      <c r="E140" t="str">
        <f>"Q"&amp;ROUNDUP(MONTH(dim_date[[#This Row],[Date]])/3,0)</f>
        <v>Q3</v>
      </c>
    </row>
    <row r="141" spans="1:5" x14ac:dyDescent="0.25">
      <c r="A141" s="6">
        <v>20230413</v>
      </c>
      <c r="B141" s="13" t="s">
        <v>214</v>
      </c>
      <c r="C141">
        <f>MONTH(dim_date[[#This Row],[Date]])</f>
        <v>4</v>
      </c>
      <c r="D141" t="str">
        <f>TEXT(dim_date[[#This Row],[Date]],"mmmm")</f>
        <v>abril</v>
      </c>
      <c r="E141" t="str">
        <f>"Q"&amp;ROUNDUP(MONTH(dim_date[[#This Row],[Date]])/3,0)</f>
        <v>Q2</v>
      </c>
    </row>
    <row r="142" spans="1:5" x14ac:dyDescent="0.25">
      <c r="A142" s="6">
        <v>20250418</v>
      </c>
      <c r="B142" s="13" t="s">
        <v>215</v>
      </c>
      <c r="C142">
        <f>MONTH(dim_date[[#This Row],[Date]])</f>
        <v>4</v>
      </c>
      <c r="D142" t="str">
        <f>TEXT(dim_date[[#This Row],[Date]],"mmmm")</f>
        <v>abril</v>
      </c>
      <c r="E142" t="str">
        <f>"Q"&amp;ROUNDUP(MONTH(dim_date[[#This Row],[Date]])/3,0)</f>
        <v>Q2</v>
      </c>
    </row>
    <row r="143" spans="1:5" x14ac:dyDescent="0.25">
      <c r="A143" s="4">
        <v>20241202</v>
      </c>
      <c r="B143" s="12" t="s">
        <v>216</v>
      </c>
      <c r="C143">
        <f>MONTH(dim_date[[#This Row],[Date]])</f>
        <v>12</v>
      </c>
      <c r="D143" t="str">
        <f>TEXT(dim_date[[#This Row],[Date]],"mmmm")</f>
        <v>diciembre</v>
      </c>
      <c r="E143" t="str">
        <f>"Q"&amp;ROUNDUP(MONTH(dim_date[[#This Row],[Date]])/3,0)</f>
        <v>Q4</v>
      </c>
    </row>
    <row r="144" spans="1:5" x14ac:dyDescent="0.25">
      <c r="A144" s="6">
        <v>20250402</v>
      </c>
      <c r="B144" s="13" t="s">
        <v>217</v>
      </c>
      <c r="C144">
        <f>MONTH(dim_date[[#This Row],[Date]])</f>
        <v>4</v>
      </c>
      <c r="D144" t="str">
        <f>TEXT(dim_date[[#This Row],[Date]],"mmmm")</f>
        <v>abril</v>
      </c>
      <c r="E144" t="str">
        <f>"Q"&amp;ROUNDUP(MONTH(dim_date[[#This Row],[Date]])/3,0)</f>
        <v>Q2</v>
      </c>
    </row>
    <row r="145" spans="1:5" x14ac:dyDescent="0.25">
      <c r="A145" s="4">
        <v>20221215</v>
      </c>
      <c r="B145" s="12" t="s">
        <v>218</v>
      </c>
      <c r="C145">
        <f>MONTH(dim_date[[#This Row],[Date]])</f>
        <v>12</v>
      </c>
      <c r="D145" t="str">
        <f>TEXT(dim_date[[#This Row],[Date]],"mmmm")</f>
        <v>diciembre</v>
      </c>
      <c r="E145" t="str">
        <f>"Q"&amp;ROUNDUP(MONTH(dim_date[[#This Row],[Date]])/3,0)</f>
        <v>Q4</v>
      </c>
    </row>
    <row r="146" spans="1:5" x14ac:dyDescent="0.25">
      <c r="A146" s="6">
        <v>20220417</v>
      </c>
      <c r="B146" s="13" t="s">
        <v>219</v>
      </c>
      <c r="C146">
        <f>MONTH(dim_date[[#This Row],[Date]])</f>
        <v>4</v>
      </c>
      <c r="D146" t="str">
        <f>TEXT(dim_date[[#This Row],[Date]],"mmmm")</f>
        <v>abril</v>
      </c>
      <c r="E146" t="str">
        <f>"Q"&amp;ROUNDUP(MONTH(dim_date[[#This Row],[Date]])/3,0)</f>
        <v>Q2</v>
      </c>
    </row>
    <row r="147" spans="1:5" x14ac:dyDescent="0.25">
      <c r="A147" s="6">
        <v>20220217</v>
      </c>
      <c r="B147" s="13" t="s">
        <v>220</v>
      </c>
      <c r="C147">
        <f>MONTH(dim_date[[#This Row],[Date]])</f>
        <v>2</v>
      </c>
      <c r="D147" t="str">
        <f>TEXT(dim_date[[#This Row],[Date]],"mmmm")</f>
        <v>febrero</v>
      </c>
      <c r="E147" t="str">
        <f>"Q"&amp;ROUNDUP(MONTH(dim_date[[#This Row],[Date]])/3,0)</f>
        <v>Q1</v>
      </c>
    </row>
    <row r="148" spans="1:5" x14ac:dyDescent="0.25">
      <c r="A148" s="8">
        <v>20240805</v>
      </c>
      <c r="B148" s="14" t="s">
        <v>221</v>
      </c>
      <c r="C148">
        <f>MONTH(dim_date[[#This Row],[Date]])</f>
        <v>8</v>
      </c>
      <c r="D148" t="str">
        <f>TEXT(dim_date[[#This Row],[Date]],"mmmm")</f>
        <v>agosto</v>
      </c>
      <c r="E148" t="str">
        <f>"Q"&amp;ROUNDUP(MONTH(dim_date[[#This Row],[Date]])/3,0)</f>
        <v>Q3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81FE7F25-6FCB-4C91-8C53-F46AE4B02130}">
  <ds:schemaRefs/>
</ds:datastoreItem>
</file>

<file path=customXml/itemProps2.xml><?xml version="1.0" encoding="utf-8"?>
<ds:datastoreItem xmlns:ds="http://schemas.openxmlformats.org/officeDocument/2006/customXml" ds:itemID="{1AB0C86F-E71E-4D34-AD14-39B05285C667}">
  <ds:schemaRefs/>
</ds:datastoreItem>
</file>

<file path=customXml/itemProps3.xml><?xml version="1.0" encoding="utf-8"?>
<ds:datastoreItem xmlns:ds="http://schemas.openxmlformats.org/officeDocument/2006/customXml" ds:itemID="{9AB4D56C-2A0B-4189-9A15-F681A29405D2}">
  <ds:schemaRefs/>
</ds:datastoreItem>
</file>

<file path=customXml/itemProps4.xml><?xml version="1.0" encoding="utf-8"?>
<ds:datastoreItem xmlns:ds="http://schemas.openxmlformats.org/officeDocument/2006/customXml" ds:itemID="{8E4C1A26-F6D9-43AC-888F-8824736FA02D}">
  <ds:schemaRefs/>
</ds:datastoreItem>
</file>

<file path=customXml/itemProps5.xml><?xml version="1.0" encoding="utf-8"?>
<ds:datastoreItem xmlns:ds="http://schemas.openxmlformats.org/officeDocument/2006/customXml" ds:itemID="{48581573-5CE0-4884-9E02-E0D472727966}">
  <ds:schemaRefs/>
</ds:datastoreItem>
</file>

<file path=customXml/itemProps6.xml><?xml version="1.0" encoding="utf-8"?>
<ds:datastoreItem xmlns:ds="http://schemas.openxmlformats.org/officeDocument/2006/customXml" ds:itemID="{89E56D33-62B5-4FB6-A211-7BEE8F41E1D6}">
  <ds:schemaRefs/>
</ds:datastoreItem>
</file>

<file path=customXml/itemProps7.xml><?xml version="1.0" encoding="utf-8"?>
<ds:datastoreItem xmlns:ds="http://schemas.openxmlformats.org/officeDocument/2006/customXml" ds:itemID="{D32BC067-165E-40F5-9F76-6B43F486AE65}">
  <ds:schemaRefs/>
</ds:datastoreItem>
</file>

<file path=customXml/itemProps8.xml><?xml version="1.0" encoding="utf-8"?>
<ds:datastoreItem xmlns:ds="http://schemas.openxmlformats.org/officeDocument/2006/customXml" ds:itemID="{B5E39D04-826D-469F-8382-1227645A4326}">
  <ds:schemaRefs/>
</ds:datastoreItem>
</file>

<file path=customXml/itemProps9.xml><?xml version="1.0" encoding="utf-8"?>
<ds:datastoreItem xmlns:ds="http://schemas.openxmlformats.org/officeDocument/2006/customXml" ds:itemID="{0CF81F9A-F975-491B-995B-C41DED5F6266}">
  <ds:schemaRefs/>
</ds:datastoreItem>
</file>

<file path=customXml/itemProps10.xml><?xml version="1.0" encoding="utf-8"?>
<ds:datastoreItem xmlns:ds="http://schemas.openxmlformats.org/officeDocument/2006/customXml" ds:itemID="{BEFC444A-EA17-4A03-A6DD-254EB76B2795}">
  <ds:schemaRefs/>
</ds:datastoreItem>
</file>

<file path=customXml/itemProps11.xml><?xml version="1.0" encoding="utf-8"?>
<ds:datastoreItem xmlns:ds="http://schemas.openxmlformats.org/officeDocument/2006/customXml" ds:itemID="{3857F798-D95C-4029-8DF6-8BBFAACA5F1E}">
  <ds:schemaRefs/>
</ds:datastoreItem>
</file>

<file path=customXml/itemProps12.xml><?xml version="1.0" encoding="utf-8"?>
<ds:datastoreItem xmlns:ds="http://schemas.openxmlformats.org/officeDocument/2006/customXml" ds:itemID="{5F863541-A60E-4A04-889D-C3DACFFE0ED0}">
  <ds:schemaRefs/>
</ds:datastoreItem>
</file>

<file path=customXml/itemProps13.xml><?xml version="1.0" encoding="utf-8"?>
<ds:datastoreItem xmlns:ds="http://schemas.openxmlformats.org/officeDocument/2006/customXml" ds:itemID="{B433B809-DDCB-4AB8-926B-7EC62CFE8B0F}">
  <ds:schemaRefs/>
</ds:datastoreItem>
</file>

<file path=customXml/itemProps14.xml><?xml version="1.0" encoding="utf-8"?>
<ds:datastoreItem xmlns:ds="http://schemas.openxmlformats.org/officeDocument/2006/customXml" ds:itemID="{8E84CE91-9220-451C-A332-A491BAB429C4}">
  <ds:schemaRefs/>
</ds:datastoreItem>
</file>

<file path=customXml/itemProps15.xml><?xml version="1.0" encoding="utf-8"?>
<ds:datastoreItem xmlns:ds="http://schemas.openxmlformats.org/officeDocument/2006/customXml" ds:itemID="{82AB9D39-EBB5-4212-A317-3C359A3D200D}">
  <ds:schemaRefs/>
</ds:datastoreItem>
</file>

<file path=customXml/itemProps16.xml><?xml version="1.0" encoding="utf-8"?>
<ds:datastoreItem xmlns:ds="http://schemas.openxmlformats.org/officeDocument/2006/customXml" ds:itemID="{74EE0879-A2A3-4C12-A141-3D00A030DF20}">
  <ds:schemaRefs/>
</ds:datastoreItem>
</file>

<file path=customXml/itemProps17.xml><?xml version="1.0" encoding="utf-8"?>
<ds:datastoreItem xmlns:ds="http://schemas.openxmlformats.org/officeDocument/2006/customXml" ds:itemID="{F6D6EBED-8905-4D89-8F29-B6060B266B16}">
  <ds:schemaRefs/>
</ds:datastoreItem>
</file>

<file path=customXml/itemProps18.xml><?xml version="1.0" encoding="utf-8"?>
<ds:datastoreItem xmlns:ds="http://schemas.openxmlformats.org/officeDocument/2006/customXml" ds:itemID="{2649A086-EAF8-4761-9684-0DD77C84A96D}">
  <ds:schemaRefs/>
</ds:datastoreItem>
</file>

<file path=customXml/itemProps19.xml><?xml version="1.0" encoding="utf-8"?>
<ds:datastoreItem xmlns:ds="http://schemas.openxmlformats.org/officeDocument/2006/customXml" ds:itemID="{28024C4D-CB6C-428A-A84B-A925E2A5B02E}">
  <ds:schemaRefs/>
</ds:datastoreItem>
</file>

<file path=customXml/itemProps20.xml><?xml version="1.0" encoding="utf-8"?>
<ds:datastoreItem xmlns:ds="http://schemas.openxmlformats.org/officeDocument/2006/customXml" ds:itemID="{C5D3DDA2-7EF2-44B6-82FE-485D32599F47}">
  <ds:schemaRefs/>
</ds:datastoreItem>
</file>

<file path=customXml/itemProps21.xml><?xml version="1.0" encoding="utf-8"?>
<ds:datastoreItem xmlns:ds="http://schemas.openxmlformats.org/officeDocument/2006/customXml" ds:itemID="{89746824-8DDA-4EC0-9130-E7332AA06DE8}">
  <ds:schemaRefs/>
</ds:datastoreItem>
</file>

<file path=customXml/itemProps22.xml><?xml version="1.0" encoding="utf-8"?>
<ds:datastoreItem xmlns:ds="http://schemas.openxmlformats.org/officeDocument/2006/customXml" ds:itemID="{5A631F7D-8E02-4FDA-922A-546F39898BDC}">
  <ds:schemaRefs/>
</ds:datastoreItem>
</file>

<file path=customXml/itemProps23.xml><?xml version="1.0" encoding="utf-8"?>
<ds:datastoreItem xmlns:ds="http://schemas.openxmlformats.org/officeDocument/2006/customXml" ds:itemID="{9F8E15C4-B2DB-45C2-AEF2-A59FF897D922}">
  <ds:schemaRefs/>
</ds:datastoreItem>
</file>

<file path=customXml/itemProps24.xml><?xml version="1.0" encoding="utf-8"?>
<ds:datastoreItem xmlns:ds="http://schemas.openxmlformats.org/officeDocument/2006/customXml" ds:itemID="{44A69966-493E-4A50-9D4A-C3BE4B364B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VentasDesnormalizada</vt:lpstr>
      <vt:lpstr>Respuestas 1_Negocio</vt:lpstr>
      <vt:lpstr>Respuestas 2_Negocio</vt:lpstr>
      <vt:lpstr>Respuestas 3_Negocio</vt:lpstr>
      <vt:lpstr>Respuestas 4_Negocio</vt:lpstr>
      <vt:lpstr>Respuestas 5_Negocio</vt:lpstr>
      <vt:lpstr>fact_sales</vt:lpstr>
      <vt:lpstr>dim_product</vt:lpstr>
      <vt:lpstr>dim_customer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P3E003-G</dc:creator>
  <cp:lastModifiedBy>P3E003-G</cp:lastModifiedBy>
  <dcterms:created xsi:type="dcterms:W3CDTF">2025-04-29T22:17:48Z</dcterms:created>
  <dcterms:modified xsi:type="dcterms:W3CDTF">2026-10-20T13:00:16Z</dcterms:modified>
</cp:coreProperties>
</file>