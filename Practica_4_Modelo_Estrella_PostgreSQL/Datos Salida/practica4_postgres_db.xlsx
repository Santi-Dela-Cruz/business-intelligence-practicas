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-Personal\OneDrive\Escritorio\"/>
    </mc:Choice>
  </mc:AlternateContent>
  <xr:revisionPtr revIDLastSave="0" documentId="13_ncr:1_{A9CC1BED-FD34-4922-8EA2-E83D6A7731A4}" xr6:coauthVersionLast="47" xr6:coauthVersionMax="47" xr10:uidLastSave="{00000000-0000-0000-0000-000000000000}"/>
  <bookViews>
    <workbookView xWindow="-120" yWindow="-120" windowWidth="29040" windowHeight="15720" xr2:uid="{480C2BAE-FBBB-482E-BFAA-B9ED567605D5}"/>
  </bookViews>
  <sheets>
    <sheet name="public dim_customer" sheetId="2" r:id="rId1"/>
    <sheet name="public dim_date" sheetId="3" r:id="rId2"/>
    <sheet name="public dim_product" sheetId="4" r:id="rId3"/>
    <sheet name="public fact_sales" sheetId="5" r:id="rId4"/>
  </sheets>
  <definedNames>
    <definedName name="ExternalData_1" localSheetId="0" hidden="1">'public dim_customer'!$A$1:$F$101</definedName>
    <definedName name="ExternalData_2" localSheetId="1" hidden="1">'public dim_date'!$A$1:$E$340</definedName>
    <definedName name="ExternalData_3" localSheetId="2" hidden="1">'public dim_product'!$A$1:$E$999</definedName>
    <definedName name="ExternalData_4" localSheetId="3" hidden="1">'public fact_sales'!$A$1:$G$1001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ublic dim_customer_da7f5b97-5d98-4faf-9733-e78b23c75401" name="public dim_customer" connection="Query - public dim_customer"/>
          <x15:modelTable id="public dim_date_a79e3a18-65bc-4764-88b6-37d81dd869e1" name="public dim_date" connection="Query - public dim_date"/>
          <x15:modelTable id="public dim_product_da067901-3edd-4a0d-9c2f-9c8947db01b8" name="public dim_product" connection="Query - public dim_product"/>
          <x15:modelTable id="public fact_sales_15c90f4a-7209-459c-9716-e8133b9fba26" name="public fact_sales" connection="Query - public fact_sales"/>
        </x15:modelTables>
        <x15:modelRelationships>
          <x15:modelRelationship fromTable="public fact_sales" fromColumn="date_key" toTable="public dim_date" toColumn="date_key"/>
          <x15:modelRelationship fromTable="public fact_sales" fromColumn="product_key" toTable="public dim_product" toColumn="product_key"/>
          <x15:modelRelationship fromTable="public fact_sales" fromColumn="customer_key" toTable="public dim_customer" toColumn="customer_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6E824E-17FB-472D-BFEA-FE19A0B4820F}" keepAlive="1" name="ModelConnection_ExternalData_1" description="Data Model" type="5" refreshedVersion="8" minRefreshableVersion="5" saveData="1">
    <dbPr connection="Data Model Connection" command="public dim_custome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9B5F142-B5B6-4A8D-8E71-87B06688AC53}" keepAlive="1" name="ModelConnection_ExternalData_2" description="Data Model" type="5" refreshedVersion="8" minRefreshableVersion="5" saveData="1">
    <dbPr connection="Data Model Connection" command="public dim_dat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26396ADC-A862-4E21-9EAD-D1F335FFF6CD}" keepAlive="1" name="ModelConnection_ExternalData_3" description="Data Model" type="5" refreshedVersion="8" minRefreshableVersion="5" saveData="1">
    <dbPr connection="Data Model Connection" command="public dim_produc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917D9E3C-5489-4B95-A79B-D839B87D76E4}" keepAlive="1" name="ModelConnection_ExternalData_4" description="Data Model" type="5" refreshedVersion="8" minRefreshableVersion="5" saveData="1">
    <dbPr connection="Data Model Connection" command="public fact_sale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BBFDB23E-E590-4193-9624-2797F93795EF}" name="Query - public dim_customer" description="Connection to the 'public dim_customer' query in the workbook." type="100" refreshedVersion="8" minRefreshableVersion="5">
    <extLst>
      <ext xmlns:x15="http://schemas.microsoft.com/office/spreadsheetml/2010/11/main" uri="{DE250136-89BD-433C-8126-D09CA5730AF9}">
        <x15:connection id="6bbbbfaf-9706-4582-9042-668b37d7e720"/>
      </ext>
    </extLst>
  </connection>
  <connection id="6" xr16:uid="{5BD1FC54-05FE-4E6E-B2E2-83DC777A562D}" name="Query - public dim_date" description="Connection to the 'public dim_date' query in the workbook." type="100" refreshedVersion="8" minRefreshableVersion="5">
    <extLst>
      <ext xmlns:x15="http://schemas.microsoft.com/office/spreadsheetml/2010/11/main" uri="{DE250136-89BD-433C-8126-D09CA5730AF9}">
        <x15:connection id="63e036ea-1367-4029-a030-3cb04f7cab69"/>
      </ext>
    </extLst>
  </connection>
  <connection id="7" xr16:uid="{F1541D07-381A-44BB-8A7A-FA5B4B0A3513}" name="Query - public dim_product" description="Connection to the 'public dim_product' query in the workbook." type="100" refreshedVersion="8" minRefreshableVersion="5">
    <extLst>
      <ext xmlns:x15="http://schemas.microsoft.com/office/spreadsheetml/2010/11/main" uri="{DE250136-89BD-433C-8126-D09CA5730AF9}">
        <x15:connection id="6ec97aeb-305d-43c3-a9c5-be492b9b5e99"/>
      </ext>
    </extLst>
  </connection>
  <connection id="8" xr16:uid="{F9658CCA-7B9A-4946-BFCC-1150D44BEC9D}" name="Query - public fact_sales" description="Connection to the 'public fact_sales' query in the workbook." type="100" refreshedVersion="8" minRefreshableVersion="5">
    <extLst>
      <ext xmlns:x15="http://schemas.microsoft.com/office/spreadsheetml/2010/11/main" uri="{DE250136-89BD-433C-8126-D09CA5730AF9}">
        <x15:connection id="b3cff289-05f1-4cff-919a-1e5fe51b7d79"/>
      </ext>
    </extLst>
  </connection>
  <connection id="9" xr16:uid="{08FA166B-50F7-4A2F-8B83-9CA760EEE0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<sst xmlns="http://schemas.openxmlformats.org/spreadsheetml/2006/main" count="4415" uniqueCount="435">
  <si>
    <t>customer_key</t>
  </si>
  <si>
    <t>customer_id</t>
  </si>
  <si>
    <t>customer_name</t>
  </si>
  <si>
    <t>gender</t>
  </si>
  <si>
    <t>marital_status</t>
  </si>
  <si>
    <t>income</t>
  </si>
  <si>
    <t>C1000</t>
  </si>
  <si>
    <t>Jeffery Garcia</t>
  </si>
  <si>
    <t>F</t>
  </si>
  <si>
    <t>Married</t>
  </si>
  <si>
    <t>C1001</t>
  </si>
  <si>
    <t>Sandra Jones</t>
  </si>
  <si>
    <t>M</t>
  </si>
  <si>
    <t>C1002</t>
  </si>
  <si>
    <t>Amy Simmons</t>
  </si>
  <si>
    <t>Single</t>
  </si>
  <si>
    <t>C1003</t>
  </si>
  <si>
    <t>Heather Lawson</t>
  </si>
  <si>
    <t>C1004</t>
  </si>
  <si>
    <t>Christopher Dominguez</t>
  </si>
  <si>
    <t>C1005</t>
  </si>
  <si>
    <t>Robert Green</t>
  </si>
  <si>
    <t>C1006</t>
  </si>
  <si>
    <t>Laura Collins</t>
  </si>
  <si>
    <t>C1007</t>
  </si>
  <si>
    <t>Tina Lucas</t>
  </si>
  <si>
    <t>C1008</t>
  </si>
  <si>
    <t>Tommy Mccullough</t>
  </si>
  <si>
    <t>C1009</t>
  </si>
  <si>
    <t>Kristina Hawkins</t>
  </si>
  <si>
    <t>C1010</t>
  </si>
  <si>
    <t>Mrs. Melissa Jackson</t>
  </si>
  <si>
    <t>C1011</t>
  </si>
  <si>
    <t>Michael Ramsey</t>
  </si>
  <si>
    <t>C1012</t>
  </si>
  <si>
    <t>Zachary Jones</t>
  </si>
  <si>
    <t>C1013</t>
  </si>
  <si>
    <t>Tommy Ayers</t>
  </si>
  <si>
    <t>C1014</t>
  </si>
  <si>
    <t>Joseph Hardy</t>
  </si>
  <si>
    <t>C1015</t>
  </si>
  <si>
    <t>Jessica Smith</t>
  </si>
  <si>
    <t>C1016</t>
  </si>
  <si>
    <t>Danielle Moore</t>
  </si>
  <si>
    <t>C1017</t>
  </si>
  <si>
    <t>Julie Winters</t>
  </si>
  <si>
    <t>C1018</t>
  </si>
  <si>
    <t>Judith Curry</t>
  </si>
  <si>
    <t>C1019</t>
  </si>
  <si>
    <t>Richard Johnston</t>
  </si>
  <si>
    <t>C1020</t>
  </si>
  <si>
    <t>Theodore Buchanan</t>
  </si>
  <si>
    <t>C1021</t>
  </si>
  <si>
    <t>Jordan Smith</t>
  </si>
  <si>
    <t>C1022</t>
  </si>
  <si>
    <t>Melissa Parker</t>
  </si>
  <si>
    <t>C1023</t>
  </si>
  <si>
    <t>Lauren Buckley</t>
  </si>
  <si>
    <t>C1024</t>
  </si>
  <si>
    <t>Taylor Brown</t>
  </si>
  <si>
    <t>C1025</t>
  </si>
  <si>
    <t>Nicole Bentley</t>
  </si>
  <si>
    <t>C1026</t>
  </si>
  <si>
    <t>Justin Austin</t>
  </si>
  <si>
    <t>C1027</t>
  </si>
  <si>
    <t>Sarah Doyle</t>
  </si>
  <si>
    <t>C1028</t>
  </si>
  <si>
    <t>Richard Kelly</t>
  </si>
  <si>
    <t>C1029</t>
  </si>
  <si>
    <t>Laura Williams</t>
  </si>
  <si>
    <t>C1030</t>
  </si>
  <si>
    <t>Kirk Day</t>
  </si>
  <si>
    <t>C1031</t>
  </si>
  <si>
    <t>Cory Aguirre</t>
  </si>
  <si>
    <t>C1032</t>
  </si>
  <si>
    <t>Mr. Nicholas Nelson</t>
  </si>
  <si>
    <t>C1033</t>
  </si>
  <si>
    <t>Katherine Holland</t>
  </si>
  <si>
    <t>C1034</t>
  </si>
  <si>
    <t>Larry Morgan</t>
  </si>
  <si>
    <t>C1035</t>
  </si>
  <si>
    <t>Lisa Miranda</t>
  </si>
  <si>
    <t>C1036</t>
  </si>
  <si>
    <t>Dr. Maria Rich</t>
  </si>
  <si>
    <t>C1037</t>
  </si>
  <si>
    <t>Erin Little</t>
  </si>
  <si>
    <t>C1038</t>
  </si>
  <si>
    <t>Elizabeth Phillips</t>
  </si>
  <si>
    <t>C1039</t>
  </si>
  <si>
    <t>Margaret Barker</t>
  </si>
  <si>
    <t>C1040</t>
  </si>
  <si>
    <t>Kenneth Petersen</t>
  </si>
  <si>
    <t>C1041</t>
  </si>
  <si>
    <t>Sarah Curtis</t>
  </si>
  <si>
    <t>C1042</t>
  </si>
  <si>
    <t>Diane Davis</t>
  </si>
  <si>
    <t>C1043</t>
  </si>
  <si>
    <t>Jennifer Gregory</t>
  </si>
  <si>
    <t>C1044</t>
  </si>
  <si>
    <t>Lisa Scott</t>
  </si>
  <si>
    <t>C1045</t>
  </si>
  <si>
    <t>Paul Zamora</t>
  </si>
  <si>
    <t>C1046</t>
  </si>
  <si>
    <t>Alicia Griffith</t>
  </si>
  <si>
    <t>C1047</t>
  </si>
  <si>
    <t>David Gonzalez</t>
  </si>
  <si>
    <t>C1048</t>
  </si>
  <si>
    <t>Shannon Donovan</t>
  </si>
  <si>
    <t>C1049</t>
  </si>
  <si>
    <t>Ronnie Robinson</t>
  </si>
  <si>
    <t>C1050</t>
  </si>
  <si>
    <t>Grant Miranda</t>
  </si>
  <si>
    <t>C1051</t>
  </si>
  <si>
    <t>Morgan Wilson</t>
  </si>
  <si>
    <t>C1052</t>
  </si>
  <si>
    <t>Tamara Chavez</t>
  </si>
  <si>
    <t>C1053</t>
  </si>
  <si>
    <t>Lisa Vazquez</t>
  </si>
  <si>
    <t>C1054</t>
  </si>
  <si>
    <t>Jennifer Snyder</t>
  </si>
  <si>
    <t>C1055</t>
  </si>
  <si>
    <t>Traci Benjamin</t>
  </si>
  <si>
    <t>C1056</t>
  </si>
  <si>
    <t>Timothy Martin</t>
  </si>
  <si>
    <t>C1057</t>
  </si>
  <si>
    <t>Sean Wells</t>
  </si>
  <si>
    <t>C1058</t>
  </si>
  <si>
    <t>Dawn Snyder</t>
  </si>
  <si>
    <t>C1059</t>
  </si>
  <si>
    <t>Annette Gonzales</t>
  </si>
  <si>
    <t>C1060</t>
  </si>
  <si>
    <t>William Guzman</t>
  </si>
  <si>
    <t>C1061</t>
  </si>
  <si>
    <t>Andrew Jensen</t>
  </si>
  <si>
    <t>C1062</t>
  </si>
  <si>
    <t>Luis Martinez</t>
  </si>
  <si>
    <t>C1063</t>
  </si>
  <si>
    <t>Alexis Norton</t>
  </si>
  <si>
    <t>C1064</t>
  </si>
  <si>
    <t>Luke Campbell</t>
  </si>
  <si>
    <t>C1065</t>
  </si>
  <si>
    <t>Elaine Carter</t>
  </si>
  <si>
    <t>C1066</t>
  </si>
  <si>
    <t>Christopher Gordon</t>
  </si>
  <si>
    <t>C1067</t>
  </si>
  <si>
    <t>Michael Kelley</t>
  </si>
  <si>
    <t>C1068</t>
  </si>
  <si>
    <t>Matthew Ewing</t>
  </si>
  <si>
    <t>C1069</t>
  </si>
  <si>
    <t>Sara Murphy</t>
  </si>
  <si>
    <t>C1070</t>
  </si>
  <si>
    <t>Brian Anderson</t>
  </si>
  <si>
    <t>C1071</t>
  </si>
  <si>
    <t>Shannon Conner</t>
  </si>
  <si>
    <t>C1072</t>
  </si>
  <si>
    <t>Amanda Johnson</t>
  </si>
  <si>
    <t>C1073</t>
  </si>
  <si>
    <t>Cheryl Aguirre</t>
  </si>
  <si>
    <t>C1074</t>
  </si>
  <si>
    <t>Aaron Cook</t>
  </si>
  <si>
    <t>C1075</t>
  </si>
  <si>
    <t>Robert Jones</t>
  </si>
  <si>
    <t>C1076</t>
  </si>
  <si>
    <t>Joseph Andrews</t>
  </si>
  <si>
    <t>C1077</t>
  </si>
  <si>
    <t>Amanda Anderson</t>
  </si>
  <si>
    <t>C1078</t>
  </si>
  <si>
    <t>Heather Garcia</t>
  </si>
  <si>
    <t>C1079</t>
  </si>
  <si>
    <t>Ashley Munoz</t>
  </si>
  <si>
    <t>C1080</t>
  </si>
  <si>
    <t>Joseph Daniel</t>
  </si>
  <si>
    <t>C1081</t>
  </si>
  <si>
    <t>Vanessa Harmon</t>
  </si>
  <si>
    <t>C1082</t>
  </si>
  <si>
    <t>Theresa Valdez</t>
  </si>
  <si>
    <t>C1083</t>
  </si>
  <si>
    <t>Katherine Lloyd</t>
  </si>
  <si>
    <t>C1084</t>
  </si>
  <si>
    <t>Jeffery Bond</t>
  </si>
  <si>
    <t>C1085</t>
  </si>
  <si>
    <t>Tammie Cabrera</t>
  </si>
  <si>
    <t>C1086</t>
  </si>
  <si>
    <t>Krystal Rivera</t>
  </si>
  <si>
    <t>C1087</t>
  </si>
  <si>
    <t>John Hicks</t>
  </si>
  <si>
    <t>C1088</t>
  </si>
  <si>
    <t>Jonathan Jackson</t>
  </si>
  <si>
    <t>C1089</t>
  </si>
  <si>
    <t>Reginald Webb</t>
  </si>
  <si>
    <t>C1090</t>
  </si>
  <si>
    <t>Brian Mcintyre</t>
  </si>
  <si>
    <t>C1091</t>
  </si>
  <si>
    <t>Janet Schwartz</t>
  </si>
  <si>
    <t>C1092</t>
  </si>
  <si>
    <t>Tiffany Medina</t>
  </si>
  <si>
    <t>C1093</t>
  </si>
  <si>
    <t>Andrew Hale</t>
  </si>
  <si>
    <t>C1094</t>
  </si>
  <si>
    <t>Alexis Johnson</t>
  </si>
  <si>
    <t>C1095</t>
  </si>
  <si>
    <t>Kristina Vasquez</t>
  </si>
  <si>
    <t>C1096</t>
  </si>
  <si>
    <t>Joanne Pittman</t>
  </si>
  <si>
    <t>C1097</t>
  </si>
  <si>
    <t>Anthony Jenkins</t>
  </si>
  <si>
    <t>C1098</t>
  </si>
  <si>
    <t>Elizabeth Williams</t>
  </si>
  <si>
    <t>C1099</t>
  </si>
  <si>
    <t>Matthew Davis</t>
  </si>
  <si>
    <t>date_key</t>
  </si>
  <si>
    <t>year</t>
  </si>
  <si>
    <t>month</t>
  </si>
  <si>
    <t>day</t>
  </si>
  <si>
    <t>quarter</t>
  </si>
  <si>
    <t>product_key</t>
  </si>
  <si>
    <t>product_id</t>
  </si>
  <si>
    <t>product_name</t>
  </si>
  <si>
    <t>category</t>
  </si>
  <si>
    <t>subcategory</t>
  </si>
  <si>
    <t>P186</t>
  </si>
  <si>
    <t>Product 186</t>
  </si>
  <si>
    <t>Electronics</t>
  </si>
  <si>
    <t>Tablets</t>
  </si>
  <si>
    <t>P119</t>
  </si>
  <si>
    <t>Product 119</t>
  </si>
  <si>
    <t>P117</t>
  </si>
  <si>
    <t>Product 117</t>
  </si>
  <si>
    <t>P181</t>
  </si>
  <si>
    <t>Product 181</t>
  </si>
  <si>
    <t>P171</t>
  </si>
  <si>
    <t>Product 171</t>
  </si>
  <si>
    <t>P115</t>
  </si>
  <si>
    <t>Product 115</t>
  </si>
  <si>
    <t>P140</t>
  </si>
  <si>
    <t>Product 140</t>
  </si>
  <si>
    <t>P185</t>
  </si>
  <si>
    <t>Product 185</t>
  </si>
  <si>
    <t>P162</t>
  </si>
  <si>
    <t>Product 162</t>
  </si>
  <si>
    <t>P177</t>
  </si>
  <si>
    <t>Product 177</t>
  </si>
  <si>
    <t>P133</t>
  </si>
  <si>
    <t>Product 133</t>
  </si>
  <si>
    <t>P192</t>
  </si>
  <si>
    <t>Product 192</t>
  </si>
  <si>
    <t>P176</t>
  </si>
  <si>
    <t>Product 176</t>
  </si>
  <si>
    <t>P104</t>
  </si>
  <si>
    <t>Product 104</t>
  </si>
  <si>
    <t>P122</t>
  </si>
  <si>
    <t>Product 122</t>
  </si>
  <si>
    <t>P112</t>
  </si>
  <si>
    <t>Product 112</t>
  </si>
  <si>
    <t>P159</t>
  </si>
  <si>
    <t>Product 159</t>
  </si>
  <si>
    <t>P169</t>
  </si>
  <si>
    <t>Product 169</t>
  </si>
  <si>
    <t>P158</t>
  </si>
  <si>
    <t>Product 158</t>
  </si>
  <si>
    <t>P148</t>
  </si>
  <si>
    <t>Product 148</t>
  </si>
  <si>
    <t>P143</t>
  </si>
  <si>
    <t>Product 143</t>
  </si>
  <si>
    <t>P164</t>
  </si>
  <si>
    <t>Product 164</t>
  </si>
  <si>
    <t>P151</t>
  </si>
  <si>
    <t>Product 151</t>
  </si>
  <si>
    <t>P180</t>
  </si>
  <si>
    <t>Product 180</t>
  </si>
  <si>
    <t>P150</t>
  </si>
  <si>
    <t>Product 150</t>
  </si>
  <si>
    <t>P173</t>
  </si>
  <si>
    <t>Product 173</t>
  </si>
  <si>
    <t>P108</t>
  </si>
  <si>
    <t>Product 108</t>
  </si>
  <si>
    <t>P131</t>
  </si>
  <si>
    <t>Product 131</t>
  </si>
  <si>
    <t>P139</t>
  </si>
  <si>
    <t>Product 139</t>
  </si>
  <si>
    <t>P136</t>
  </si>
  <si>
    <t>Product 136</t>
  </si>
  <si>
    <t>P120</t>
  </si>
  <si>
    <t>Product 120</t>
  </si>
  <si>
    <t>P118</t>
  </si>
  <si>
    <t>Product 118</t>
  </si>
  <si>
    <t>P183</t>
  </si>
  <si>
    <t>Product 183</t>
  </si>
  <si>
    <t>P197</t>
  </si>
  <si>
    <t>Product 197</t>
  </si>
  <si>
    <t>P107</t>
  </si>
  <si>
    <t>Product 107</t>
  </si>
  <si>
    <t>P102</t>
  </si>
  <si>
    <t>Product 102</t>
  </si>
  <si>
    <t>P199</t>
  </si>
  <si>
    <t>Product 199</t>
  </si>
  <si>
    <t>P121</t>
  </si>
  <si>
    <t>Product 121</t>
  </si>
  <si>
    <t>P198</t>
  </si>
  <si>
    <t>Product 198</t>
  </si>
  <si>
    <t>P103</t>
  </si>
  <si>
    <t>Product 103</t>
  </si>
  <si>
    <t>P129</t>
  </si>
  <si>
    <t>Product 129</t>
  </si>
  <si>
    <t>P152</t>
  </si>
  <si>
    <t>Product 152</t>
  </si>
  <si>
    <t>P175</t>
  </si>
  <si>
    <t>Product 175</t>
  </si>
  <si>
    <t>P101</t>
  </si>
  <si>
    <t>Product 101</t>
  </si>
  <si>
    <t>P144</t>
  </si>
  <si>
    <t>Product 144</t>
  </si>
  <si>
    <t>P127</t>
  </si>
  <si>
    <t>Product 127</t>
  </si>
  <si>
    <t>P161</t>
  </si>
  <si>
    <t>Product 161</t>
  </si>
  <si>
    <t>P157</t>
  </si>
  <si>
    <t>Product 157</t>
  </si>
  <si>
    <t>P160</t>
  </si>
  <si>
    <t>Product 160</t>
  </si>
  <si>
    <t>P134</t>
  </si>
  <si>
    <t>Product 134</t>
  </si>
  <si>
    <t>P141</t>
  </si>
  <si>
    <t>Product 141</t>
  </si>
  <si>
    <t>P114</t>
  </si>
  <si>
    <t>Product 114</t>
  </si>
  <si>
    <t>P109</t>
  </si>
  <si>
    <t>Product 109</t>
  </si>
  <si>
    <t>P123</t>
  </si>
  <si>
    <t>Product 123</t>
  </si>
  <si>
    <t>P125</t>
  </si>
  <si>
    <t>Product 125</t>
  </si>
  <si>
    <t>P195</t>
  </si>
  <si>
    <t>Product 195</t>
  </si>
  <si>
    <t>P100</t>
  </si>
  <si>
    <t>Product 100</t>
  </si>
  <si>
    <t>P135</t>
  </si>
  <si>
    <t>Product 135</t>
  </si>
  <si>
    <t>P190</t>
  </si>
  <si>
    <t>Product 190</t>
  </si>
  <si>
    <t>P193</t>
  </si>
  <si>
    <t>Product 193</t>
  </si>
  <si>
    <t>P187</t>
  </si>
  <si>
    <t>Product 187</t>
  </si>
  <si>
    <t>P170</t>
  </si>
  <si>
    <t>Product 170</t>
  </si>
  <si>
    <t>P113</t>
  </si>
  <si>
    <t>Product 113</t>
  </si>
  <si>
    <t>P147</t>
  </si>
  <si>
    <t>Product 147</t>
  </si>
  <si>
    <t>P174</t>
  </si>
  <si>
    <t>Product 174</t>
  </si>
  <si>
    <t>P155</t>
  </si>
  <si>
    <t>Product 155</t>
  </si>
  <si>
    <t>P105</t>
  </si>
  <si>
    <t>Product 105</t>
  </si>
  <si>
    <t>P116</t>
  </si>
  <si>
    <t>Product 116</t>
  </si>
  <si>
    <t>P196</t>
  </si>
  <si>
    <t>Product 196</t>
  </si>
  <si>
    <t>P165</t>
  </si>
  <si>
    <t>Product 165</t>
  </si>
  <si>
    <t>P178</t>
  </si>
  <si>
    <t>Product 178</t>
  </si>
  <si>
    <t>P168</t>
  </si>
  <si>
    <t>Product 168</t>
  </si>
  <si>
    <t>P106</t>
  </si>
  <si>
    <t>Product 106</t>
  </si>
  <si>
    <t>P142</t>
  </si>
  <si>
    <t>Product 142</t>
  </si>
  <si>
    <t>P191</t>
  </si>
  <si>
    <t>Product 191</t>
  </si>
  <si>
    <t>P156</t>
  </si>
  <si>
    <t>Product 156</t>
  </si>
  <si>
    <t>P184</t>
  </si>
  <si>
    <t>Product 184</t>
  </si>
  <si>
    <t>P182</t>
  </si>
  <si>
    <t>Product 182</t>
  </si>
  <si>
    <t>P166</t>
  </si>
  <si>
    <t>Product 166</t>
  </si>
  <si>
    <t>P149</t>
  </si>
  <si>
    <t>Product 149</t>
  </si>
  <si>
    <t>P179</t>
  </si>
  <si>
    <t>Product 179</t>
  </si>
  <si>
    <t>Computers</t>
  </si>
  <si>
    <t>P130</t>
  </si>
  <si>
    <t>Product 130</t>
  </si>
  <si>
    <t>P110</t>
  </si>
  <si>
    <t>Product 110</t>
  </si>
  <si>
    <t>P146</t>
  </si>
  <si>
    <t>Product 146</t>
  </si>
  <si>
    <t>P188</t>
  </si>
  <si>
    <t>Product 188</t>
  </si>
  <si>
    <t>P138</t>
  </si>
  <si>
    <t>Product 138</t>
  </si>
  <si>
    <t>P126</t>
  </si>
  <si>
    <t>Product 126</t>
  </si>
  <si>
    <t>P132</t>
  </si>
  <si>
    <t>Product 132</t>
  </si>
  <si>
    <t>P154</t>
  </si>
  <si>
    <t>Product 154</t>
  </si>
  <si>
    <t>P189</t>
  </si>
  <si>
    <t>Product 189</t>
  </si>
  <si>
    <t>P124</t>
  </si>
  <si>
    <t>Product 124</t>
  </si>
  <si>
    <t>P172</t>
  </si>
  <si>
    <t>Product 172</t>
  </si>
  <si>
    <t>P128</t>
  </si>
  <si>
    <t>Product 128</t>
  </si>
  <si>
    <t>P145</t>
  </si>
  <si>
    <t>Product 145</t>
  </si>
  <si>
    <t>P137</t>
  </si>
  <si>
    <t>Product 137</t>
  </si>
  <si>
    <t>P163</t>
  </si>
  <si>
    <t>Product 163</t>
  </si>
  <si>
    <t>Clothing</t>
  </si>
  <si>
    <t>Women</t>
  </si>
  <si>
    <t>P167</t>
  </si>
  <si>
    <t>Product 167</t>
  </si>
  <si>
    <t>P194</t>
  </si>
  <si>
    <t>Product 194</t>
  </si>
  <si>
    <t>P153</t>
  </si>
  <si>
    <t>Product 153</t>
  </si>
  <si>
    <t>Men</t>
  </si>
  <si>
    <t>P111</t>
  </si>
  <si>
    <t>Product 111</t>
  </si>
  <si>
    <t>Accessories</t>
  </si>
  <si>
    <t>Mice</t>
  </si>
  <si>
    <t>Cables</t>
  </si>
  <si>
    <t>Home</t>
  </si>
  <si>
    <t>Kitchen</t>
  </si>
  <si>
    <t>transaction_key</t>
  </si>
  <si>
    <t>quantity</t>
  </si>
  <si>
    <t>unit_price</t>
  </si>
  <si>
    <t>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</si>
</sst>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022C911-7E16-478B-8C50-137F959EA455}" autoFormatId="16" applyNumberFormats="0" applyBorderFormats="0" applyFontFormats="0" applyPatternFormats="0" applyAlignmentFormats="0" applyWidthHeightFormats="0">
  <queryTableRefresh nextId="7">
    <queryTableFields count="6">
      <queryTableField id="1" name="customer_key" tableColumnId="1"/>
      <queryTableField id="2" name="customer_id" tableColumnId="2"/>
      <queryTableField id="3" name="customer_name" tableColumnId="3"/>
      <queryTableField id="4" name="gender" tableColumnId="4"/>
      <queryTableField id="5" name="marital_status" tableColumnId="5"/>
      <queryTableField id="6" name="income" tableColumnId="6"/>
    </queryTableFields>
  </queryTableRefresh>
  <extLst>
    <ext xmlns:x15="http://schemas.microsoft.com/office/spreadsheetml/2010/11/main" uri="{883FBD77-0823-4a55-B5E3-86C4891E6966}">
      <x15:queryTable sourceDataName="Query - public dim_custome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B972C42B-E968-490B-989A-CE795BB2D110}" autoFormatId="16" applyNumberFormats="0" applyBorderFormats="0" applyFontFormats="0" applyPatternFormats="0" applyAlignmentFormats="0" applyWidthHeightFormats="0">
  <queryTableRefresh nextId="6">
    <queryTableFields count="5">
      <queryTableField id="1" name="date_key" tableColumnId="1"/>
      <queryTableField id="2" name="year" tableColumnId="2"/>
      <queryTableField id="3" name="month" tableColumnId="3"/>
      <queryTableField id="4" name="day" tableColumnId="4"/>
      <queryTableField id="5" name="quarter" tableColumnId="5"/>
    </queryTableFields>
  </queryTableRefresh>
  <extLst>
    <ext xmlns:x15="http://schemas.microsoft.com/office/spreadsheetml/2010/11/main" uri="{883FBD77-0823-4a55-B5E3-86C4891E6966}">
      <x15:queryTable sourceDataName="Query - public dim_dat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DF6F560D-5630-4987-A509-8AF00E2F52F7}" autoFormatId="16" applyNumberFormats="0" applyBorderFormats="0" applyFontFormats="0" applyPatternFormats="0" applyAlignmentFormats="0" applyWidthHeightFormats="0">
  <queryTableRefresh nextId="6">
    <queryTableFields count="5">
      <queryTableField id="1" name="product_key" tableColumnId="1"/>
      <queryTableField id="2" name="product_id" tableColumnId="2"/>
      <queryTableField id="3" name="product_name" tableColumnId="3"/>
      <queryTableField id="4" name="category" tableColumnId="4"/>
      <queryTableField id="5" name="subcategory" tableColumnId="5"/>
    </queryTableFields>
  </queryTableRefresh>
  <extLst>
    <ext xmlns:x15="http://schemas.microsoft.com/office/spreadsheetml/2010/11/main" uri="{883FBD77-0823-4a55-B5E3-86C4891E6966}">
      <x15:queryTable sourceDataName="Query - public dim_product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1F80A085-1DDF-4F2D-9895-2662D7DB351F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key" tableColumnId="1"/>
      <queryTableField id="2" name="product_key" tableColumnId="2"/>
      <queryTableField id="3" name="customer_key" tableColumnId="3"/>
      <queryTableField id="4" name="date_key" tableColumnId="4"/>
      <queryTableField id="5" name="quantity" tableColumnId="5"/>
      <queryTableField id="6" name="unit_price" tableColumnId="6"/>
      <queryTableField id="7" name="sales_amount" tableColumnId="7"/>
    </queryTableFields>
  </queryTableRefresh>
  <extLst>
    <ext xmlns:x15="http://schemas.microsoft.com/office/spreadsheetml/2010/11/main" uri="{883FBD77-0823-4a55-B5E3-86C4891E6966}">
      <x15:queryTable sourceDataName="Query - public fact_sa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A6898-326B-46FA-9682-7E018444A4E2}" name="public_dim_customer" displayName="public_dim_customer" ref="A1:F101" tableType="queryTable" totalsRowShown="0">
  <autoFilter ref="A1:F101" xr:uid="{E4FA6898-326B-46FA-9682-7E018444A4E2}"/>
  <tableColumns count="6">
    <tableColumn id="1" xr3:uid="{667ADCAB-916B-4891-A347-1414F19E4D02}" uniqueName="1" name="customer_key" queryTableFieldId="1"/>
    <tableColumn id="2" xr3:uid="{439D5FA0-3224-496C-ACA3-BAB1761D5652}" uniqueName="2" name="customer_id" queryTableFieldId="2" dataDxfId="10"/>
    <tableColumn id="3" xr3:uid="{A5DA32D3-1943-440A-8DFB-B2B81E0F9F36}" uniqueName="3" name="customer_name" queryTableFieldId="3" dataDxfId="9"/>
    <tableColumn id="4" xr3:uid="{208A4B69-7723-4911-9E6E-B8F1467037C9}" uniqueName="4" name="gender" queryTableFieldId="4" dataDxfId="8"/>
    <tableColumn id="5" xr3:uid="{69DF89CC-2B93-4806-81E8-0FFAA91AD687}" uniqueName="5" name="marital_status" queryTableFieldId="5" dataDxfId="7"/>
    <tableColumn id="6" xr3:uid="{29ADC1E9-5614-47C5-ABEC-B00A21C4D6EC}" uniqueName="6" name="incom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7C52A2-5145-4183-A57E-463100C8EE2E}" name="public_dim_date" displayName="public_dim_date" ref="A1:E340" tableType="queryTable" totalsRowShown="0">
  <autoFilter ref="A1:E340" xr:uid="{227C52A2-5145-4183-A57E-463100C8EE2E}"/>
  <tableColumns count="5">
    <tableColumn id="1" xr3:uid="{0D711F89-A5D2-49B1-9B04-861D2D112154}" uniqueName="1" name="date_key" queryTableFieldId="1" dataDxfId="6"/>
    <tableColumn id="2" xr3:uid="{F33F2493-BE99-4E38-9A9B-766FAE62D77D}" uniqueName="2" name="year" queryTableFieldId="2"/>
    <tableColumn id="3" xr3:uid="{48766486-7FB4-4207-8367-15FC76515205}" uniqueName="3" name="month" queryTableFieldId="3"/>
    <tableColumn id="4" xr3:uid="{E0237C31-A8FC-424E-BF39-29C22747698B}" uniqueName="4" name="day" queryTableFieldId="4"/>
    <tableColumn id="5" xr3:uid="{9BB5F614-A39F-475D-9705-B4E9C9204C74}" uniqueName="5" name="quarter" queryTableFieldId="5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1F0946-BFAD-4747-B6DA-86293F50471D}" name="public_dim_product" displayName="public_dim_product" ref="A1:E999" tableType="queryTable" totalsRowShown="0">
  <autoFilter ref="A1:E999" xr:uid="{9E1F0946-BFAD-4747-B6DA-86293F50471D}"/>
  <tableColumns count="5">
    <tableColumn id="1" xr3:uid="{FA516185-65ED-4B48-8693-C79434F512CA}" uniqueName="1" name="product_key" queryTableFieldId="1"/>
    <tableColumn id="2" xr3:uid="{1B8A95D6-08F6-455D-AC96-C16637225295}" uniqueName="2" name="product_id" queryTableFieldId="2" dataDxfId="4"/>
    <tableColumn id="3" xr3:uid="{84C6BE19-AA47-436F-B499-1D040AB00CB3}" uniqueName="3" name="product_name" queryTableFieldId="3" dataDxfId="3"/>
    <tableColumn id="4" xr3:uid="{D5125FC2-D823-4011-82FF-F9BE03101DBD}" uniqueName="4" name="category" queryTableFieldId="4" dataDxfId="2"/>
    <tableColumn id="5" xr3:uid="{E377C372-32AE-4AAF-8A6E-1A594A6EA2D0}" uniqueName="5" name="subcategory" queryTableFieldId="5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A03CD5-1D41-405F-8A7B-304770A16D00}" name="public_fact_sales" displayName="public_fact_sales" ref="A1:G1001" tableType="queryTable" totalsRowShown="0">
  <autoFilter ref="A1:G1001" xr:uid="{4BA03CD5-1D41-405F-8A7B-304770A16D00}"/>
  <tableColumns count="7">
    <tableColumn id="1" xr3:uid="{53FE272B-4C27-40EE-B70B-19AA59EFAF3D}" uniqueName="1" name="transaction_key" queryTableFieldId="1"/>
    <tableColumn id="2" xr3:uid="{E8D9F4DA-753C-463C-A89B-9B9621DEE34C}" uniqueName="2" name="product_key" queryTableFieldId="2"/>
    <tableColumn id="3" xr3:uid="{28CBF28C-D6F3-485B-88A1-C78B312A8FBF}" uniqueName="3" name="customer_key" queryTableFieldId="3"/>
    <tableColumn id="4" xr3:uid="{BF0E7B10-9E8A-4C74-97F2-FC5D36291D4F}" uniqueName="4" name="date_key" queryTableFieldId="4" dataDxfId="0"/>
    <tableColumn id="5" xr3:uid="{733C603A-66C7-4F8C-A370-0E143EB7B333}" uniqueName="5" name="quantity" queryTableFieldId="5"/>
    <tableColumn id="6" xr3:uid="{7491B3E3-FF3F-4ADC-993C-C77622EDE560}" uniqueName="6" name="unit_price" queryTableFieldId="6"/>
    <tableColumn id="7" xr3:uid="{AC5DABAA-3BC2-47EF-A239-3C83FB54504B}" uniqueName="7" name="sales_am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E888-D7CA-4DCC-992B-C71AAF0B47A5}">
  <dimension ref="A1:F101"/>
  <sheetViews>
    <sheetView tabSelected="1" workbookViewId="0">
      <selection activeCell="H8" sqref="H8"/>
    </sheetView>
  </sheetViews>
  <sheetFormatPr defaultRowHeight="15" x14ac:dyDescent="0.25"/>
  <cols>
    <col min="1" max="1" width="16" bestFit="1" customWidth="1"/>
    <col min="2" max="2" width="14.42578125" bestFit="1" customWidth="1"/>
    <col min="3" max="3" width="22" bestFit="1" customWidth="1"/>
    <col min="4" max="4" width="9.5703125" bestFit="1" customWidth="1"/>
    <col min="5" max="5" width="16.140625" bestFit="1" customWidth="1"/>
    <col min="6" max="6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>
        <v>66089</v>
      </c>
    </row>
    <row r="3" spans="1:6" x14ac:dyDescent="0.25">
      <c r="A3">
        <v>2</v>
      </c>
      <c r="B3" s="1" t="s">
        <v>10</v>
      </c>
      <c r="C3" s="1" t="s">
        <v>11</v>
      </c>
      <c r="D3" s="1" t="s">
        <v>12</v>
      </c>
      <c r="E3" s="1" t="s">
        <v>9</v>
      </c>
      <c r="F3">
        <v>68526</v>
      </c>
    </row>
    <row r="4" spans="1:6" x14ac:dyDescent="0.25">
      <c r="A4">
        <v>3</v>
      </c>
      <c r="B4" s="1" t="s">
        <v>13</v>
      </c>
      <c r="C4" s="1" t="s">
        <v>14</v>
      </c>
      <c r="D4" s="1" t="s">
        <v>12</v>
      </c>
      <c r="E4" s="1" t="s">
        <v>15</v>
      </c>
      <c r="F4">
        <v>51447</v>
      </c>
    </row>
    <row r="5" spans="1:6" x14ac:dyDescent="0.25">
      <c r="A5">
        <v>4</v>
      </c>
      <c r="B5" s="1" t="s">
        <v>16</v>
      </c>
      <c r="C5" s="1" t="s">
        <v>17</v>
      </c>
      <c r="D5" s="1" t="s">
        <v>12</v>
      </c>
      <c r="E5" s="1" t="s">
        <v>9</v>
      </c>
      <c r="F5">
        <v>77828</v>
      </c>
    </row>
    <row r="6" spans="1:6" x14ac:dyDescent="0.25">
      <c r="A6">
        <v>5</v>
      </c>
      <c r="B6" s="1" t="s">
        <v>18</v>
      </c>
      <c r="C6" s="1" t="s">
        <v>19</v>
      </c>
      <c r="D6" s="1" t="s">
        <v>12</v>
      </c>
      <c r="E6" s="1" t="s">
        <v>9</v>
      </c>
      <c r="F6">
        <v>24996</v>
      </c>
    </row>
    <row r="7" spans="1:6" x14ac:dyDescent="0.25">
      <c r="A7">
        <v>6</v>
      </c>
      <c r="B7" s="1" t="s">
        <v>20</v>
      </c>
      <c r="C7" s="1" t="s">
        <v>21</v>
      </c>
      <c r="D7" s="1" t="s">
        <v>8</v>
      </c>
      <c r="E7" s="1" t="s">
        <v>9</v>
      </c>
      <c r="F7">
        <v>27253</v>
      </c>
    </row>
    <row r="8" spans="1:6" x14ac:dyDescent="0.25">
      <c r="A8">
        <v>7</v>
      </c>
      <c r="B8" s="1" t="s">
        <v>22</v>
      </c>
      <c r="C8" s="1" t="s">
        <v>23</v>
      </c>
      <c r="D8" s="1" t="s">
        <v>12</v>
      </c>
      <c r="E8" s="1" t="s">
        <v>15</v>
      </c>
      <c r="F8">
        <v>43816</v>
      </c>
    </row>
    <row r="9" spans="1:6" x14ac:dyDescent="0.25">
      <c r="A9">
        <v>8</v>
      </c>
      <c r="B9" s="1" t="s">
        <v>24</v>
      </c>
      <c r="C9" s="1" t="s">
        <v>25</v>
      </c>
      <c r="D9" s="1" t="s">
        <v>12</v>
      </c>
      <c r="E9" s="1" t="s">
        <v>9</v>
      </c>
      <c r="F9">
        <v>29294</v>
      </c>
    </row>
    <row r="10" spans="1:6" x14ac:dyDescent="0.25">
      <c r="A10">
        <v>9</v>
      </c>
      <c r="B10" s="1" t="s">
        <v>26</v>
      </c>
      <c r="C10" s="1" t="s">
        <v>27</v>
      </c>
      <c r="D10" s="1" t="s">
        <v>12</v>
      </c>
      <c r="E10" s="1" t="s">
        <v>9</v>
      </c>
      <c r="F10">
        <v>27174</v>
      </c>
    </row>
    <row r="11" spans="1:6" x14ac:dyDescent="0.25">
      <c r="A11">
        <v>10</v>
      </c>
      <c r="B11" s="1" t="s">
        <v>28</v>
      </c>
      <c r="C11" s="1" t="s">
        <v>29</v>
      </c>
      <c r="D11" s="1" t="s">
        <v>8</v>
      </c>
      <c r="E11" s="1" t="s">
        <v>9</v>
      </c>
      <c r="F11">
        <v>35826</v>
      </c>
    </row>
    <row r="12" spans="1:6" x14ac:dyDescent="0.25">
      <c r="A12">
        <v>11</v>
      </c>
      <c r="B12" s="1" t="s">
        <v>30</v>
      </c>
      <c r="C12" s="1" t="s">
        <v>31</v>
      </c>
      <c r="D12" s="1" t="s">
        <v>8</v>
      </c>
      <c r="E12" s="1" t="s">
        <v>15</v>
      </c>
      <c r="F12">
        <v>37000</v>
      </c>
    </row>
    <row r="13" spans="1:6" x14ac:dyDescent="0.25">
      <c r="A13">
        <v>12</v>
      </c>
      <c r="B13" s="1" t="s">
        <v>32</v>
      </c>
      <c r="C13" s="1" t="s">
        <v>33</v>
      </c>
      <c r="D13" s="1" t="s">
        <v>8</v>
      </c>
      <c r="E13" s="1" t="s">
        <v>9</v>
      </c>
      <c r="F13">
        <v>46726</v>
      </c>
    </row>
    <row r="14" spans="1:6" x14ac:dyDescent="0.25">
      <c r="A14">
        <v>13</v>
      </c>
      <c r="B14" s="1" t="s">
        <v>34</v>
      </c>
      <c r="C14" s="1" t="s">
        <v>35</v>
      </c>
      <c r="D14" s="1" t="s">
        <v>12</v>
      </c>
      <c r="E14" s="1" t="s">
        <v>9</v>
      </c>
      <c r="F14">
        <v>61757</v>
      </c>
    </row>
    <row r="15" spans="1:6" x14ac:dyDescent="0.25">
      <c r="A15">
        <v>14</v>
      </c>
      <c r="B15" s="1" t="s">
        <v>36</v>
      </c>
      <c r="C15" s="1" t="s">
        <v>37</v>
      </c>
      <c r="D15" s="1" t="s">
        <v>8</v>
      </c>
      <c r="E15" s="1" t="s">
        <v>9</v>
      </c>
      <c r="F15">
        <v>64830</v>
      </c>
    </row>
    <row r="16" spans="1:6" x14ac:dyDescent="0.25">
      <c r="A16">
        <v>15</v>
      </c>
      <c r="B16" s="1" t="s">
        <v>38</v>
      </c>
      <c r="C16" s="1" t="s">
        <v>39</v>
      </c>
      <c r="D16" s="1" t="s">
        <v>12</v>
      </c>
      <c r="E16" s="1" t="s">
        <v>9</v>
      </c>
      <c r="F16">
        <v>33178</v>
      </c>
    </row>
    <row r="17" spans="1:6" x14ac:dyDescent="0.25">
      <c r="A17">
        <v>16</v>
      </c>
      <c r="B17" s="1" t="s">
        <v>40</v>
      </c>
      <c r="C17" s="1" t="s">
        <v>41</v>
      </c>
      <c r="D17" s="1" t="s">
        <v>8</v>
      </c>
      <c r="E17" s="1" t="s">
        <v>15</v>
      </c>
      <c r="F17">
        <v>61435</v>
      </c>
    </row>
    <row r="18" spans="1:6" x14ac:dyDescent="0.25">
      <c r="A18">
        <v>17</v>
      </c>
      <c r="B18" s="1" t="s">
        <v>42</v>
      </c>
      <c r="C18" s="1" t="s">
        <v>43</v>
      </c>
      <c r="D18" s="1" t="s">
        <v>8</v>
      </c>
      <c r="E18" s="1" t="s">
        <v>15</v>
      </c>
      <c r="F18">
        <v>35046</v>
      </c>
    </row>
    <row r="19" spans="1:6" x14ac:dyDescent="0.25">
      <c r="A19">
        <v>18</v>
      </c>
      <c r="B19" s="1" t="s">
        <v>44</v>
      </c>
      <c r="C19" s="1" t="s">
        <v>45</v>
      </c>
      <c r="D19" s="1" t="s">
        <v>12</v>
      </c>
      <c r="E19" s="1" t="s">
        <v>9</v>
      </c>
      <c r="F19">
        <v>78241</v>
      </c>
    </row>
    <row r="20" spans="1:6" x14ac:dyDescent="0.25">
      <c r="A20">
        <v>19</v>
      </c>
      <c r="B20" s="1" t="s">
        <v>46</v>
      </c>
      <c r="C20" s="1" t="s">
        <v>47</v>
      </c>
      <c r="D20" s="1" t="s">
        <v>8</v>
      </c>
      <c r="E20" s="1" t="s">
        <v>9</v>
      </c>
      <c r="F20">
        <v>69729</v>
      </c>
    </row>
    <row r="21" spans="1:6" x14ac:dyDescent="0.25">
      <c r="A21">
        <v>20</v>
      </c>
      <c r="B21" s="1" t="s">
        <v>48</v>
      </c>
      <c r="C21" s="1" t="s">
        <v>49</v>
      </c>
      <c r="D21" s="1" t="s">
        <v>8</v>
      </c>
      <c r="E21" s="1" t="s">
        <v>9</v>
      </c>
      <c r="F21">
        <v>69701</v>
      </c>
    </row>
    <row r="22" spans="1:6" x14ac:dyDescent="0.25">
      <c r="A22">
        <v>21</v>
      </c>
      <c r="B22" s="1" t="s">
        <v>50</v>
      </c>
      <c r="C22" s="1" t="s">
        <v>51</v>
      </c>
      <c r="D22" s="1" t="s">
        <v>8</v>
      </c>
      <c r="E22" s="1" t="s">
        <v>9</v>
      </c>
      <c r="F22">
        <v>78950</v>
      </c>
    </row>
    <row r="23" spans="1:6" x14ac:dyDescent="0.25">
      <c r="A23">
        <v>22</v>
      </c>
      <c r="B23" s="1" t="s">
        <v>52</v>
      </c>
      <c r="C23" s="1" t="s">
        <v>53</v>
      </c>
      <c r="D23" s="1" t="s">
        <v>12</v>
      </c>
      <c r="E23" s="1" t="s">
        <v>15</v>
      </c>
      <c r="F23">
        <v>29543</v>
      </c>
    </row>
    <row r="24" spans="1:6" x14ac:dyDescent="0.25">
      <c r="A24">
        <v>23</v>
      </c>
      <c r="B24" s="1" t="s">
        <v>54</v>
      </c>
      <c r="C24" s="1" t="s">
        <v>55</v>
      </c>
      <c r="D24" s="1" t="s">
        <v>8</v>
      </c>
      <c r="E24" s="1" t="s">
        <v>15</v>
      </c>
      <c r="F24">
        <v>42939</v>
      </c>
    </row>
    <row r="25" spans="1:6" x14ac:dyDescent="0.25">
      <c r="A25">
        <v>24</v>
      </c>
      <c r="B25" s="1" t="s">
        <v>56</v>
      </c>
      <c r="C25" s="1" t="s">
        <v>57</v>
      </c>
      <c r="D25" s="1" t="s">
        <v>8</v>
      </c>
      <c r="E25" s="1" t="s">
        <v>15</v>
      </c>
      <c r="F25">
        <v>38606</v>
      </c>
    </row>
    <row r="26" spans="1:6" x14ac:dyDescent="0.25">
      <c r="A26">
        <v>25</v>
      </c>
      <c r="B26" s="1" t="s">
        <v>58</v>
      </c>
      <c r="C26" s="1" t="s">
        <v>59</v>
      </c>
      <c r="D26" s="1" t="s">
        <v>12</v>
      </c>
      <c r="E26" s="1" t="s">
        <v>9</v>
      </c>
      <c r="F26">
        <v>60649</v>
      </c>
    </row>
    <row r="27" spans="1:6" x14ac:dyDescent="0.25">
      <c r="A27">
        <v>26</v>
      </c>
      <c r="B27" s="1" t="s">
        <v>60</v>
      </c>
      <c r="C27" s="1" t="s">
        <v>61</v>
      </c>
      <c r="D27" s="1" t="s">
        <v>8</v>
      </c>
      <c r="E27" s="1" t="s">
        <v>15</v>
      </c>
      <c r="F27">
        <v>78589</v>
      </c>
    </row>
    <row r="28" spans="1:6" x14ac:dyDescent="0.25">
      <c r="A28">
        <v>27</v>
      </c>
      <c r="B28" s="1" t="s">
        <v>62</v>
      </c>
      <c r="C28" s="1" t="s">
        <v>63</v>
      </c>
      <c r="D28" s="1" t="s">
        <v>8</v>
      </c>
      <c r="E28" s="1" t="s">
        <v>15</v>
      </c>
      <c r="F28">
        <v>46521</v>
      </c>
    </row>
    <row r="29" spans="1:6" x14ac:dyDescent="0.25">
      <c r="A29">
        <v>28</v>
      </c>
      <c r="B29" s="1" t="s">
        <v>64</v>
      </c>
      <c r="C29" s="1" t="s">
        <v>65</v>
      </c>
      <c r="D29" s="1" t="s">
        <v>8</v>
      </c>
      <c r="E29" s="1" t="s">
        <v>15</v>
      </c>
      <c r="F29">
        <v>29819</v>
      </c>
    </row>
    <row r="30" spans="1:6" x14ac:dyDescent="0.25">
      <c r="A30">
        <v>29</v>
      </c>
      <c r="B30" s="1" t="s">
        <v>66</v>
      </c>
      <c r="C30" s="1" t="s">
        <v>67</v>
      </c>
      <c r="D30" s="1" t="s">
        <v>12</v>
      </c>
      <c r="E30" s="1" t="s">
        <v>9</v>
      </c>
      <c r="F30">
        <v>36787</v>
      </c>
    </row>
    <row r="31" spans="1:6" x14ac:dyDescent="0.25">
      <c r="A31">
        <v>30</v>
      </c>
      <c r="B31" s="1" t="s">
        <v>68</v>
      </c>
      <c r="C31" s="1" t="s">
        <v>69</v>
      </c>
      <c r="D31" s="1" t="s">
        <v>8</v>
      </c>
      <c r="E31" s="1" t="s">
        <v>9</v>
      </c>
      <c r="F31">
        <v>54708</v>
      </c>
    </row>
    <row r="32" spans="1:6" x14ac:dyDescent="0.25">
      <c r="A32">
        <v>31</v>
      </c>
      <c r="B32" s="1" t="s">
        <v>70</v>
      </c>
      <c r="C32" s="1" t="s">
        <v>71</v>
      </c>
      <c r="D32" s="1" t="s">
        <v>12</v>
      </c>
      <c r="E32" s="1" t="s">
        <v>15</v>
      </c>
      <c r="F32">
        <v>35314</v>
      </c>
    </row>
    <row r="33" spans="1:6" x14ac:dyDescent="0.25">
      <c r="A33">
        <v>32</v>
      </c>
      <c r="B33" s="1" t="s">
        <v>72</v>
      </c>
      <c r="C33" s="1" t="s">
        <v>73</v>
      </c>
      <c r="D33" s="1" t="s">
        <v>12</v>
      </c>
      <c r="E33" s="1" t="s">
        <v>9</v>
      </c>
      <c r="F33">
        <v>35877</v>
      </c>
    </row>
    <row r="34" spans="1:6" x14ac:dyDescent="0.25">
      <c r="A34">
        <v>33</v>
      </c>
      <c r="B34" s="1" t="s">
        <v>74</v>
      </c>
      <c r="C34" s="1" t="s">
        <v>75</v>
      </c>
      <c r="D34" s="1" t="s">
        <v>8</v>
      </c>
      <c r="E34" s="1" t="s">
        <v>15</v>
      </c>
      <c r="F34">
        <v>58574</v>
      </c>
    </row>
    <row r="35" spans="1:6" x14ac:dyDescent="0.25">
      <c r="A35">
        <v>34</v>
      </c>
      <c r="B35" s="1" t="s">
        <v>76</v>
      </c>
      <c r="C35" s="1" t="s">
        <v>77</v>
      </c>
      <c r="D35" s="1" t="s">
        <v>12</v>
      </c>
      <c r="E35" s="1" t="s">
        <v>15</v>
      </c>
      <c r="F35">
        <v>62107</v>
      </c>
    </row>
    <row r="36" spans="1:6" x14ac:dyDescent="0.25">
      <c r="A36">
        <v>35</v>
      </c>
      <c r="B36" s="1" t="s">
        <v>78</v>
      </c>
      <c r="C36" s="1" t="s">
        <v>79</v>
      </c>
      <c r="D36" s="1" t="s">
        <v>8</v>
      </c>
      <c r="E36" s="1" t="s">
        <v>9</v>
      </c>
      <c r="F36">
        <v>45617</v>
      </c>
    </row>
    <row r="37" spans="1:6" x14ac:dyDescent="0.25">
      <c r="A37">
        <v>36</v>
      </c>
      <c r="B37" s="1" t="s">
        <v>80</v>
      </c>
      <c r="C37" s="1" t="s">
        <v>81</v>
      </c>
      <c r="D37" s="1" t="s">
        <v>8</v>
      </c>
      <c r="E37" s="1" t="s">
        <v>9</v>
      </c>
      <c r="F37">
        <v>55071</v>
      </c>
    </row>
    <row r="38" spans="1:6" x14ac:dyDescent="0.25">
      <c r="A38">
        <v>37</v>
      </c>
      <c r="B38" s="1" t="s">
        <v>82</v>
      </c>
      <c r="C38" s="1" t="s">
        <v>83</v>
      </c>
      <c r="D38" s="1" t="s">
        <v>8</v>
      </c>
      <c r="E38" s="1" t="s">
        <v>9</v>
      </c>
      <c r="F38">
        <v>33561</v>
      </c>
    </row>
    <row r="39" spans="1:6" x14ac:dyDescent="0.25">
      <c r="A39">
        <v>38</v>
      </c>
      <c r="B39" s="1" t="s">
        <v>84</v>
      </c>
      <c r="C39" s="1" t="s">
        <v>85</v>
      </c>
      <c r="D39" s="1" t="s">
        <v>8</v>
      </c>
      <c r="E39" s="1" t="s">
        <v>9</v>
      </c>
      <c r="F39">
        <v>30398</v>
      </c>
    </row>
    <row r="40" spans="1:6" x14ac:dyDescent="0.25">
      <c r="A40">
        <v>39</v>
      </c>
      <c r="B40" s="1" t="s">
        <v>86</v>
      </c>
      <c r="C40" s="1" t="s">
        <v>87</v>
      </c>
      <c r="D40" s="1" t="s">
        <v>12</v>
      </c>
      <c r="E40" s="1" t="s">
        <v>15</v>
      </c>
      <c r="F40">
        <v>58094</v>
      </c>
    </row>
    <row r="41" spans="1:6" x14ac:dyDescent="0.25">
      <c r="A41">
        <v>40</v>
      </c>
      <c r="B41" s="1" t="s">
        <v>88</v>
      </c>
      <c r="C41" s="1" t="s">
        <v>89</v>
      </c>
      <c r="D41" s="1" t="s">
        <v>12</v>
      </c>
      <c r="E41" s="1" t="s">
        <v>9</v>
      </c>
      <c r="F41">
        <v>56403</v>
      </c>
    </row>
    <row r="42" spans="1:6" x14ac:dyDescent="0.25">
      <c r="A42">
        <v>41</v>
      </c>
      <c r="B42" s="1" t="s">
        <v>90</v>
      </c>
      <c r="C42" s="1" t="s">
        <v>91</v>
      </c>
      <c r="D42" s="1" t="s">
        <v>12</v>
      </c>
      <c r="E42" s="1" t="s">
        <v>15</v>
      </c>
      <c r="F42">
        <v>20029</v>
      </c>
    </row>
    <row r="43" spans="1:6" x14ac:dyDescent="0.25">
      <c r="A43">
        <v>42</v>
      </c>
      <c r="B43" s="1" t="s">
        <v>92</v>
      </c>
      <c r="C43" s="1" t="s">
        <v>93</v>
      </c>
      <c r="D43" s="1" t="s">
        <v>12</v>
      </c>
      <c r="E43" s="1" t="s">
        <v>9</v>
      </c>
      <c r="F43">
        <v>76674</v>
      </c>
    </row>
    <row r="44" spans="1:6" x14ac:dyDescent="0.25">
      <c r="A44">
        <v>43</v>
      </c>
      <c r="B44" s="1" t="s">
        <v>94</v>
      </c>
      <c r="C44" s="1" t="s">
        <v>95</v>
      </c>
      <c r="D44" s="1" t="s">
        <v>8</v>
      </c>
      <c r="E44" s="1" t="s">
        <v>15</v>
      </c>
      <c r="F44">
        <v>67840</v>
      </c>
    </row>
    <row r="45" spans="1:6" x14ac:dyDescent="0.25">
      <c r="A45">
        <v>44</v>
      </c>
      <c r="B45" s="1" t="s">
        <v>96</v>
      </c>
      <c r="C45" s="1" t="s">
        <v>97</v>
      </c>
      <c r="D45" s="1" t="s">
        <v>8</v>
      </c>
      <c r="E45" s="1" t="s">
        <v>15</v>
      </c>
      <c r="F45">
        <v>60839</v>
      </c>
    </row>
    <row r="46" spans="1:6" x14ac:dyDescent="0.25">
      <c r="A46">
        <v>45</v>
      </c>
      <c r="B46" s="1" t="s">
        <v>98</v>
      </c>
      <c r="C46" s="1" t="s">
        <v>99</v>
      </c>
      <c r="D46" s="1" t="s">
        <v>8</v>
      </c>
      <c r="E46" s="1" t="s">
        <v>9</v>
      </c>
      <c r="F46">
        <v>28432</v>
      </c>
    </row>
    <row r="47" spans="1:6" x14ac:dyDescent="0.25">
      <c r="A47">
        <v>46</v>
      </c>
      <c r="B47" s="1" t="s">
        <v>100</v>
      </c>
      <c r="C47" s="1" t="s">
        <v>101</v>
      </c>
      <c r="D47" s="1" t="s">
        <v>8</v>
      </c>
      <c r="E47" s="1" t="s">
        <v>9</v>
      </c>
      <c r="F47">
        <v>25899</v>
      </c>
    </row>
    <row r="48" spans="1:6" x14ac:dyDescent="0.25">
      <c r="A48">
        <v>47</v>
      </c>
      <c r="B48" s="1" t="s">
        <v>102</v>
      </c>
      <c r="C48" s="1" t="s">
        <v>103</v>
      </c>
      <c r="D48" s="1" t="s">
        <v>8</v>
      </c>
      <c r="E48" s="1" t="s">
        <v>15</v>
      </c>
      <c r="F48">
        <v>75427</v>
      </c>
    </row>
    <row r="49" spans="1:6" x14ac:dyDescent="0.25">
      <c r="A49">
        <v>48</v>
      </c>
      <c r="B49" s="1" t="s">
        <v>104</v>
      </c>
      <c r="C49" s="1" t="s">
        <v>105</v>
      </c>
      <c r="D49" s="1" t="s">
        <v>12</v>
      </c>
      <c r="E49" s="1" t="s">
        <v>9</v>
      </c>
      <c r="F49">
        <v>68972</v>
      </c>
    </row>
    <row r="50" spans="1:6" x14ac:dyDescent="0.25">
      <c r="A50">
        <v>49</v>
      </c>
      <c r="B50" s="1" t="s">
        <v>106</v>
      </c>
      <c r="C50" s="1" t="s">
        <v>107</v>
      </c>
      <c r="D50" s="1" t="s">
        <v>8</v>
      </c>
      <c r="E50" s="1" t="s">
        <v>9</v>
      </c>
      <c r="F50">
        <v>20065</v>
      </c>
    </row>
    <row r="51" spans="1:6" x14ac:dyDescent="0.25">
      <c r="A51">
        <v>50</v>
      </c>
      <c r="B51" s="1" t="s">
        <v>108</v>
      </c>
      <c r="C51" s="1" t="s">
        <v>109</v>
      </c>
      <c r="D51" s="1" t="s">
        <v>8</v>
      </c>
      <c r="E51" s="1" t="s">
        <v>9</v>
      </c>
      <c r="F51">
        <v>51913</v>
      </c>
    </row>
    <row r="52" spans="1:6" x14ac:dyDescent="0.25">
      <c r="A52">
        <v>51</v>
      </c>
      <c r="B52" s="1" t="s">
        <v>110</v>
      </c>
      <c r="C52" s="1" t="s">
        <v>111</v>
      </c>
      <c r="D52" s="1" t="s">
        <v>8</v>
      </c>
      <c r="E52" s="1" t="s">
        <v>9</v>
      </c>
      <c r="F52">
        <v>22652</v>
      </c>
    </row>
    <row r="53" spans="1:6" x14ac:dyDescent="0.25">
      <c r="A53">
        <v>52</v>
      </c>
      <c r="B53" s="1" t="s">
        <v>112</v>
      </c>
      <c r="C53" s="1" t="s">
        <v>113</v>
      </c>
      <c r="D53" s="1" t="s">
        <v>12</v>
      </c>
      <c r="E53" s="1" t="s">
        <v>15</v>
      </c>
      <c r="F53">
        <v>30660</v>
      </c>
    </row>
    <row r="54" spans="1:6" x14ac:dyDescent="0.25">
      <c r="A54">
        <v>53</v>
      </c>
      <c r="B54" s="1" t="s">
        <v>114</v>
      </c>
      <c r="C54" s="1" t="s">
        <v>115</v>
      </c>
      <c r="D54" s="1" t="s">
        <v>8</v>
      </c>
      <c r="E54" s="1" t="s">
        <v>9</v>
      </c>
      <c r="F54">
        <v>23824</v>
      </c>
    </row>
    <row r="55" spans="1:6" x14ac:dyDescent="0.25">
      <c r="A55">
        <v>54</v>
      </c>
      <c r="B55" s="1" t="s">
        <v>116</v>
      </c>
      <c r="C55" s="1" t="s">
        <v>117</v>
      </c>
      <c r="D55" s="1" t="s">
        <v>8</v>
      </c>
      <c r="E55" s="1" t="s">
        <v>15</v>
      </c>
      <c r="F55">
        <v>37606</v>
      </c>
    </row>
    <row r="56" spans="1:6" x14ac:dyDescent="0.25">
      <c r="A56">
        <v>55</v>
      </c>
      <c r="B56" s="1" t="s">
        <v>118</v>
      </c>
      <c r="C56" s="1" t="s">
        <v>119</v>
      </c>
      <c r="D56" s="1" t="s">
        <v>12</v>
      </c>
      <c r="E56" s="1" t="s">
        <v>15</v>
      </c>
      <c r="F56">
        <v>33366</v>
      </c>
    </row>
    <row r="57" spans="1:6" x14ac:dyDescent="0.25">
      <c r="A57">
        <v>56</v>
      </c>
      <c r="B57" s="1" t="s">
        <v>120</v>
      </c>
      <c r="C57" s="1" t="s">
        <v>121</v>
      </c>
      <c r="D57" s="1" t="s">
        <v>8</v>
      </c>
      <c r="E57" s="1" t="s">
        <v>15</v>
      </c>
      <c r="F57">
        <v>78113</v>
      </c>
    </row>
    <row r="58" spans="1:6" x14ac:dyDescent="0.25">
      <c r="A58">
        <v>57</v>
      </c>
      <c r="B58" s="1" t="s">
        <v>122</v>
      </c>
      <c r="C58" s="1" t="s">
        <v>123</v>
      </c>
      <c r="D58" s="1" t="s">
        <v>8</v>
      </c>
      <c r="E58" s="1" t="s">
        <v>15</v>
      </c>
      <c r="F58">
        <v>70135</v>
      </c>
    </row>
    <row r="59" spans="1:6" x14ac:dyDescent="0.25">
      <c r="A59">
        <v>58</v>
      </c>
      <c r="B59" s="1" t="s">
        <v>124</v>
      </c>
      <c r="C59" s="1" t="s">
        <v>125</v>
      </c>
      <c r="D59" s="1" t="s">
        <v>12</v>
      </c>
      <c r="E59" s="1" t="s">
        <v>15</v>
      </c>
      <c r="F59">
        <v>55139</v>
      </c>
    </row>
    <row r="60" spans="1:6" x14ac:dyDescent="0.25">
      <c r="A60">
        <v>59</v>
      </c>
      <c r="B60" s="1" t="s">
        <v>126</v>
      </c>
      <c r="C60" s="1" t="s">
        <v>127</v>
      </c>
      <c r="D60" s="1" t="s">
        <v>8</v>
      </c>
      <c r="E60" s="1" t="s">
        <v>9</v>
      </c>
      <c r="F60">
        <v>21574</v>
      </c>
    </row>
    <row r="61" spans="1:6" x14ac:dyDescent="0.25">
      <c r="A61">
        <v>60</v>
      </c>
      <c r="B61" s="1" t="s">
        <v>128</v>
      </c>
      <c r="C61" s="1" t="s">
        <v>129</v>
      </c>
      <c r="D61" s="1" t="s">
        <v>12</v>
      </c>
      <c r="E61" s="1" t="s">
        <v>9</v>
      </c>
      <c r="F61">
        <v>58402</v>
      </c>
    </row>
    <row r="62" spans="1:6" x14ac:dyDescent="0.25">
      <c r="A62">
        <v>61</v>
      </c>
      <c r="B62" s="1" t="s">
        <v>130</v>
      </c>
      <c r="C62" s="1" t="s">
        <v>131</v>
      </c>
      <c r="D62" s="1" t="s">
        <v>12</v>
      </c>
      <c r="E62" s="1" t="s">
        <v>15</v>
      </c>
      <c r="F62">
        <v>24261</v>
      </c>
    </row>
    <row r="63" spans="1:6" x14ac:dyDescent="0.25">
      <c r="A63">
        <v>62</v>
      </c>
      <c r="B63" s="1" t="s">
        <v>132</v>
      </c>
      <c r="C63" s="1" t="s">
        <v>133</v>
      </c>
      <c r="D63" s="1" t="s">
        <v>8</v>
      </c>
      <c r="E63" s="1" t="s">
        <v>9</v>
      </c>
      <c r="F63">
        <v>58105</v>
      </c>
    </row>
    <row r="64" spans="1:6" x14ac:dyDescent="0.25">
      <c r="A64">
        <v>63</v>
      </c>
      <c r="B64" s="1" t="s">
        <v>134</v>
      </c>
      <c r="C64" s="1" t="s">
        <v>135</v>
      </c>
      <c r="D64" s="1" t="s">
        <v>8</v>
      </c>
      <c r="E64" s="1" t="s">
        <v>15</v>
      </c>
      <c r="F64">
        <v>26562</v>
      </c>
    </row>
    <row r="65" spans="1:6" x14ac:dyDescent="0.25">
      <c r="A65">
        <v>64</v>
      </c>
      <c r="B65" s="1" t="s">
        <v>136</v>
      </c>
      <c r="C65" s="1" t="s">
        <v>137</v>
      </c>
      <c r="D65" s="1" t="s">
        <v>12</v>
      </c>
      <c r="E65" s="1" t="s">
        <v>9</v>
      </c>
      <c r="F65">
        <v>25216</v>
      </c>
    </row>
    <row r="66" spans="1:6" x14ac:dyDescent="0.25">
      <c r="A66">
        <v>65</v>
      </c>
      <c r="B66" s="1" t="s">
        <v>138</v>
      </c>
      <c r="C66" s="1" t="s">
        <v>139</v>
      </c>
      <c r="D66" s="1" t="s">
        <v>8</v>
      </c>
      <c r="E66" s="1" t="s">
        <v>9</v>
      </c>
      <c r="F66">
        <v>76680</v>
      </c>
    </row>
    <row r="67" spans="1:6" x14ac:dyDescent="0.25">
      <c r="A67">
        <v>66</v>
      </c>
      <c r="B67" s="1" t="s">
        <v>140</v>
      </c>
      <c r="C67" s="1" t="s">
        <v>141</v>
      </c>
      <c r="D67" s="1" t="s">
        <v>12</v>
      </c>
      <c r="E67" s="1" t="s">
        <v>15</v>
      </c>
      <c r="F67">
        <v>22678</v>
      </c>
    </row>
    <row r="68" spans="1:6" x14ac:dyDescent="0.25">
      <c r="A68">
        <v>67</v>
      </c>
      <c r="B68" s="1" t="s">
        <v>142</v>
      </c>
      <c r="C68" s="1" t="s">
        <v>143</v>
      </c>
      <c r="D68" s="1" t="s">
        <v>12</v>
      </c>
      <c r="E68" s="1" t="s">
        <v>9</v>
      </c>
      <c r="F68">
        <v>78695</v>
      </c>
    </row>
    <row r="69" spans="1:6" x14ac:dyDescent="0.25">
      <c r="A69">
        <v>68</v>
      </c>
      <c r="B69" s="1" t="s">
        <v>144</v>
      </c>
      <c r="C69" s="1" t="s">
        <v>145</v>
      </c>
      <c r="D69" s="1" t="s">
        <v>12</v>
      </c>
      <c r="E69" s="1" t="s">
        <v>9</v>
      </c>
      <c r="F69">
        <v>56230</v>
      </c>
    </row>
    <row r="70" spans="1:6" x14ac:dyDescent="0.25">
      <c r="A70">
        <v>69</v>
      </c>
      <c r="B70" s="1" t="s">
        <v>146</v>
      </c>
      <c r="C70" s="1" t="s">
        <v>147</v>
      </c>
      <c r="D70" s="1" t="s">
        <v>12</v>
      </c>
      <c r="E70" s="1" t="s">
        <v>9</v>
      </c>
      <c r="F70">
        <v>73161</v>
      </c>
    </row>
    <row r="71" spans="1:6" x14ac:dyDescent="0.25">
      <c r="A71">
        <v>70</v>
      </c>
      <c r="B71" s="1" t="s">
        <v>148</v>
      </c>
      <c r="C71" s="1" t="s">
        <v>149</v>
      </c>
      <c r="D71" s="1" t="s">
        <v>12</v>
      </c>
      <c r="E71" s="1" t="s">
        <v>9</v>
      </c>
      <c r="F71">
        <v>53435</v>
      </c>
    </row>
    <row r="72" spans="1:6" x14ac:dyDescent="0.25">
      <c r="A72">
        <v>71</v>
      </c>
      <c r="B72" s="1" t="s">
        <v>150</v>
      </c>
      <c r="C72" s="1" t="s">
        <v>151</v>
      </c>
      <c r="D72" s="1" t="s">
        <v>12</v>
      </c>
      <c r="E72" s="1" t="s">
        <v>9</v>
      </c>
      <c r="F72">
        <v>29820</v>
      </c>
    </row>
    <row r="73" spans="1:6" x14ac:dyDescent="0.25">
      <c r="A73">
        <v>72</v>
      </c>
      <c r="B73" s="1" t="s">
        <v>152</v>
      </c>
      <c r="C73" s="1" t="s">
        <v>153</v>
      </c>
      <c r="D73" s="1" t="s">
        <v>12</v>
      </c>
      <c r="E73" s="1" t="s">
        <v>15</v>
      </c>
      <c r="F73">
        <v>45514</v>
      </c>
    </row>
    <row r="74" spans="1:6" x14ac:dyDescent="0.25">
      <c r="A74">
        <v>73</v>
      </c>
      <c r="B74" s="1" t="s">
        <v>154</v>
      </c>
      <c r="C74" s="1" t="s">
        <v>155</v>
      </c>
      <c r="D74" s="1" t="s">
        <v>8</v>
      </c>
      <c r="E74" s="1" t="s">
        <v>15</v>
      </c>
      <c r="F74">
        <v>69414</v>
      </c>
    </row>
    <row r="75" spans="1:6" x14ac:dyDescent="0.25">
      <c r="A75">
        <v>74</v>
      </c>
      <c r="B75" s="1" t="s">
        <v>156</v>
      </c>
      <c r="C75" s="1" t="s">
        <v>157</v>
      </c>
      <c r="D75" s="1" t="s">
        <v>12</v>
      </c>
      <c r="E75" s="1" t="s">
        <v>15</v>
      </c>
      <c r="F75">
        <v>43323</v>
      </c>
    </row>
    <row r="76" spans="1:6" x14ac:dyDescent="0.25">
      <c r="A76">
        <v>75</v>
      </c>
      <c r="B76" s="1" t="s">
        <v>158</v>
      </c>
      <c r="C76" s="1" t="s">
        <v>159</v>
      </c>
      <c r="D76" s="1" t="s">
        <v>12</v>
      </c>
      <c r="E76" s="1" t="s">
        <v>15</v>
      </c>
      <c r="F76">
        <v>78666</v>
      </c>
    </row>
    <row r="77" spans="1:6" x14ac:dyDescent="0.25">
      <c r="A77">
        <v>76</v>
      </c>
      <c r="B77" s="1" t="s">
        <v>160</v>
      </c>
      <c r="C77" s="1" t="s">
        <v>161</v>
      </c>
      <c r="D77" s="1" t="s">
        <v>12</v>
      </c>
      <c r="E77" s="1" t="s">
        <v>15</v>
      </c>
      <c r="F77">
        <v>26613</v>
      </c>
    </row>
    <row r="78" spans="1:6" x14ac:dyDescent="0.25">
      <c r="A78">
        <v>77</v>
      </c>
      <c r="B78" s="1" t="s">
        <v>162</v>
      </c>
      <c r="C78" s="1" t="s">
        <v>163</v>
      </c>
      <c r="D78" s="1" t="s">
        <v>8</v>
      </c>
      <c r="E78" s="1" t="s">
        <v>9</v>
      </c>
      <c r="F78">
        <v>37709</v>
      </c>
    </row>
    <row r="79" spans="1:6" x14ac:dyDescent="0.25">
      <c r="A79">
        <v>78</v>
      </c>
      <c r="B79" s="1" t="s">
        <v>164</v>
      </c>
      <c r="C79" s="1" t="s">
        <v>165</v>
      </c>
      <c r="D79" s="1" t="s">
        <v>12</v>
      </c>
      <c r="E79" s="1" t="s">
        <v>15</v>
      </c>
      <c r="F79">
        <v>46618</v>
      </c>
    </row>
    <row r="80" spans="1:6" x14ac:dyDescent="0.25">
      <c r="A80">
        <v>79</v>
      </c>
      <c r="B80" s="1" t="s">
        <v>166</v>
      </c>
      <c r="C80" s="1" t="s">
        <v>167</v>
      </c>
      <c r="D80" s="1" t="s">
        <v>8</v>
      </c>
      <c r="E80" s="1" t="s">
        <v>15</v>
      </c>
      <c r="F80">
        <v>59249</v>
      </c>
    </row>
    <row r="81" spans="1:6" x14ac:dyDescent="0.25">
      <c r="A81">
        <v>80</v>
      </c>
      <c r="B81" s="1" t="s">
        <v>168</v>
      </c>
      <c r="C81" s="1" t="s">
        <v>169</v>
      </c>
      <c r="D81" s="1" t="s">
        <v>12</v>
      </c>
      <c r="E81" s="1" t="s">
        <v>15</v>
      </c>
      <c r="F81">
        <v>33697</v>
      </c>
    </row>
    <row r="82" spans="1:6" x14ac:dyDescent="0.25">
      <c r="A82">
        <v>81</v>
      </c>
      <c r="B82" s="1" t="s">
        <v>170</v>
      </c>
      <c r="C82" s="1" t="s">
        <v>171</v>
      </c>
      <c r="D82" s="1" t="s">
        <v>12</v>
      </c>
      <c r="E82" s="1" t="s">
        <v>15</v>
      </c>
      <c r="F82">
        <v>46931</v>
      </c>
    </row>
    <row r="83" spans="1:6" x14ac:dyDescent="0.25">
      <c r="A83">
        <v>82</v>
      </c>
      <c r="B83" s="1" t="s">
        <v>172</v>
      </c>
      <c r="C83" s="1" t="s">
        <v>173</v>
      </c>
      <c r="D83" s="1" t="s">
        <v>12</v>
      </c>
      <c r="E83" s="1" t="s">
        <v>9</v>
      </c>
      <c r="F83">
        <v>23602</v>
      </c>
    </row>
    <row r="84" spans="1:6" x14ac:dyDescent="0.25">
      <c r="A84">
        <v>83</v>
      </c>
      <c r="B84" s="1" t="s">
        <v>174</v>
      </c>
      <c r="C84" s="1" t="s">
        <v>175</v>
      </c>
      <c r="D84" s="1" t="s">
        <v>8</v>
      </c>
      <c r="E84" s="1" t="s">
        <v>15</v>
      </c>
      <c r="F84">
        <v>62986</v>
      </c>
    </row>
    <row r="85" spans="1:6" x14ac:dyDescent="0.25">
      <c r="A85">
        <v>84</v>
      </c>
      <c r="B85" s="1" t="s">
        <v>176</v>
      </c>
      <c r="C85" s="1" t="s">
        <v>177</v>
      </c>
      <c r="D85" s="1" t="s">
        <v>12</v>
      </c>
      <c r="E85" s="1" t="s">
        <v>9</v>
      </c>
      <c r="F85">
        <v>49122</v>
      </c>
    </row>
    <row r="86" spans="1:6" x14ac:dyDescent="0.25">
      <c r="A86">
        <v>85</v>
      </c>
      <c r="B86" s="1" t="s">
        <v>178</v>
      </c>
      <c r="C86" s="1" t="s">
        <v>179</v>
      </c>
      <c r="D86" s="1" t="s">
        <v>8</v>
      </c>
      <c r="E86" s="1" t="s">
        <v>9</v>
      </c>
      <c r="F86">
        <v>61612</v>
      </c>
    </row>
    <row r="87" spans="1:6" x14ac:dyDescent="0.25">
      <c r="A87">
        <v>86</v>
      </c>
      <c r="B87" s="1" t="s">
        <v>180</v>
      </c>
      <c r="C87" s="1" t="s">
        <v>181</v>
      </c>
      <c r="D87" s="1" t="s">
        <v>8</v>
      </c>
      <c r="E87" s="1" t="s">
        <v>9</v>
      </c>
      <c r="F87">
        <v>22356</v>
      </c>
    </row>
    <row r="88" spans="1:6" x14ac:dyDescent="0.25">
      <c r="A88">
        <v>87</v>
      </c>
      <c r="B88" s="1" t="s">
        <v>182</v>
      </c>
      <c r="C88" s="1" t="s">
        <v>183</v>
      </c>
      <c r="D88" s="1" t="s">
        <v>12</v>
      </c>
      <c r="E88" s="1" t="s">
        <v>9</v>
      </c>
      <c r="F88">
        <v>21693</v>
      </c>
    </row>
    <row r="89" spans="1:6" x14ac:dyDescent="0.25">
      <c r="A89">
        <v>88</v>
      </c>
      <c r="B89" s="1" t="s">
        <v>184</v>
      </c>
      <c r="C89" s="1" t="s">
        <v>185</v>
      </c>
      <c r="D89" s="1" t="s">
        <v>12</v>
      </c>
      <c r="E89" s="1" t="s">
        <v>9</v>
      </c>
      <c r="F89">
        <v>36336</v>
      </c>
    </row>
    <row r="90" spans="1:6" x14ac:dyDescent="0.25">
      <c r="A90">
        <v>89</v>
      </c>
      <c r="B90" s="1" t="s">
        <v>186</v>
      </c>
      <c r="C90" s="1" t="s">
        <v>187</v>
      </c>
      <c r="D90" s="1" t="s">
        <v>8</v>
      </c>
      <c r="E90" s="1" t="s">
        <v>15</v>
      </c>
      <c r="F90">
        <v>63790</v>
      </c>
    </row>
    <row r="91" spans="1:6" x14ac:dyDescent="0.25">
      <c r="A91">
        <v>90</v>
      </c>
      <c r="B91" s="1" t="s">
        <v>188</v>
      </c>
      <c r="C91" s="1" t="s">
        <v>189</v>
      </c>
      <c r="D91" s="1" t="s">
        <v>8</v>
      </c>
      <c r="E91" s="1" t="s">
        <v>9</v>
      </c>
      <c r="F91">
        <v>24687</v>
      </c>
    </row>
    <row r="92" spans="1:6" x14ac:dyDescent="0.25">
      <c r="A92">
        <v>91</v>
      </c>
      <c r="B92" s="1" t="s">
        <v>190</v>
      </c>
      <c r="C92" s="1" t="s">
        <v>191</v>
      </c>
      <c r="D92" s="1" t="s">
        <v>12</v>
      </c>
      <c r="E92" s="1" t="s">
        <v>9</v>
      </c>
      <c r="F92">
        <v>23443</v>
      </c>
    </row>
    <row r="93" spans="1:6" x14ac:dyDescent="0.25">
      <c r="A93">
        <v>92</v>
      </c>
      <c r="B93" s="1" t="s">
        <v>192</v>
      </c>
      <c r="C93" s="1" t="s">
        <v>193</v>
      </c>
      <c r="D93" s="1" t="s">
        <v>8</v>
      </c>
      <c r="E93" s="1" t="s">
        <v>9</v>
      </c>
      <c r="F93">
        <v>31224</v>
      </c>
    </row>
    <row r="94" spans="1:6" x14ac:dyDescent="0.25">
      <c r="A94">
        <v>93</v>
      </c>
      <c r="B94" s="1" t="s">
        <v>194</v>
      </c>
      <c r="C94" s="1" t="s">
        <v>195</v>
      </c>
      <c r="D94" s="1" t="s">
        <v>12</v>
      </c>
      <c r="E94" s="1" t="s">
        <v>9</v>
      </c>
      <c r="F94">
        <v>77274</v>
      </c>
    </row>
    <row r="95" spans="1:6" x14ac:dyDescent="0.25">
      <c r="A95">
        <v>94</v>
      </c>
      <c r="B95" s="1" t="s">
        <v>196</v>
      </c>
      <c r="C95" s="1" t="s">
        <v>197</v>
      </c>
      <c r="D95" s="1" t="s">
        <v>12</v>
      </c>
      <c r="E95" s="1" t="s">
        <v>9</v>
      </c>
      <c r="F95">
        <v>28922</v>
      </c>
    </row>
    <row r="96" spans="1:6" x14ac:dyDescent="0.25">
      <c r="A96">
        <v>95</v>
      </c>
      <c r="B96" s="1" t="s">
        <v>198</v>
      </c>
      <c r="C96" s="1" t="s">
        <v>199</v>
      </c>
      <c r="D96" s="1" t="s">
        <v>12</v>
      </c>
      <c r="E96" s="1" t="s">
        <v>9</v>
      </c>
      <c r="F96">
        <v>29970</v>
      </c>
    </row>
    <row r="97" spans="1:6" x14ac:dyDescent="0.25">
      <c r="A97">
        <v>96</v>
      </c>
      <c r="B97" s="1" t="s">
        <v>200</v>
      </c>
      <c r="C97" s="1" t="s">
        <v>201</v>
      </c>
      <c r="D97" s="1" t="s">
        <v>12</v>
      </c>
      <c r="E97" s="1" t="s">
        <v>15</v>
      </c>
      <c r="F97">
        <v>29045</v>
      </c>
    </row>
    <row r="98" spans="1:6" x14ac:dyDescent="0.25">
      <c r="A98">
        <v>97</v>
      </c>
      <c r="B98" s="1" t="s">
        <v>202</v>
      </c>
      <c r="C98" s="1" t="s">
        <v>203</v>
      </c>
      <c r="D98" s="1" t="s">
        <v>8</v>
      </c>
      <c r="E98" s="1" t="s">
        <v>9</v>
      </c>
      <c r="F98">
        <v>65731</v>
      </c>
    </row>
    <row r="99" spans="1:6" x14ac:dyDescent="0.25">
      <c r="A99">
        <v>98</v>
      </c>
      <c r="B99" s="1" t="s">
        <v>204</v>
      </c>
      <c r="C99" s="1" t="s">
        <v>205</v>
      </c>
      <c r="D99" s="1" t="s">
        <v>8</v>
      </c>
      <c r="E99" s="1" t="s">
        <v>15</v>
      </c>
      <c r="F99">
        <v>31444</v>
      </c>
    </row>
    <row r="100" spans="1:6" x14ac:dyDescent="0.25">
      <c r="A100">
        <v>99</v>
      </c>
      <c r="B100" s="1" t="s">
        <v>206</v>
      </c>
      <c r="C100" s="1" t="s">
        <v>207</v>
      </c>
      <c r="D100" s="1" t="s">
        <v>12</v>
      </c>
      <c r="E100" s="1" t="s">
        <v>9</v>
      </c>
      <c r="F100">
        <v>50852</v>
      </c>
    </row>
    <row r="101" spans="1:6" x14ac:dyDescent="0.25">
      <c r="A101">
        <v>100</v>
      </c>
      <c r="B101" s="1" t="s">
        <v>208</v>
      </c>
      <c r="C101" s="1" t="s">
        <v>209</v>
      </c>
      <c r="D101" s="1" t="s">
        <v>8</v>
      </c>
      <c r="E101" s="1" t="s">
        <v>15</v>
      </c>
      <c r="F101">
        <v>66028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6547-388B-4162-89D4-6E80EE285A84}">
  <dimension ref="A1:E340"/>
  <sheetViews>
    <sheetView topLeftCell="A305" workbookViewId="0">
      <selection activeCell="I321" sqref="I321"/>
    </sheetView>
  </sheetViews>
  <sheetFormatPr defaultRowHeight="15" x14ac:dyDescent="0.25"/>
  <cols>
    <col min="1" max="1" width="11.28515625" bestFit="1" customWidth="1"/>
    <col min="2" max="2" width="7.140625" bestFit="1" customWidth="1"/>
    <col min="4" max="4" width="6.42578125" bestFit="1" customWidth="1"/>
    <col min="5" max="5" width="9.85546875" bestFit="1" customWidth="1"/>
  </cols>
  <sheetData>
    <row r="1" spans="1:5" x14ac:dyDescent="0.25">
      <c r="A1" t="s">
        <v>210</v>
      </c>
      <c r="B1" t="s">
        <v>211</v>
      </c>
      <c r="C1" t="s">
        <v>212</v>
      </c>
      <c r="D1" t="s">
        <v>213</v>
      </c>
      <c r="E1" t="s">
        <v>214</v>
      </c>
    </row>
    <row r="2" spans="1:5" x14ac:dyDescent="0.25">
      <c r="A2" s="2">
        <v>45425</v>
      </c>
      <c r="B2">
        <f>YEAR(public_dim_date[[#This Row],[date_key]])</f>
        <v>2024</v>
      </c>
      <c r="C2">
        <f>MONTH(public_dim_date[[#This Row],[date_key]])</f>
        <v>5</v>
      </c>
      <c r="D2">
        <f>DAY(public_dim_date[[#This Row],[date_key]])</f>
        <v>13</v>
      </c>
      <c r="E2" t="str">
        <f>"Q" &amp; ROUNDUP(MONTH(B2)/3, 0)</f>
        <v>Q3</v>
      </c>
    </row>
    <row r="3" spans="1:5" x14ac:dyDescent="0.25">
      <c r="A3" s="2">
        <v>45426</v>
      </c>
      <c r="B3">
        <f>YEAR(public_dim_date[[#This Row],[date_key]])</f>
        <v>2024</v>
      </c>
      <c r="C3">
        <f>MONTH(public_dim_date[[#This Row],[date_key]])</f>
        <v>5</v>
      </c>
      <c r="D3">
        <f>DAY(public_dim_date[[#This Row],[date_key]])</f>
        <v>14</v>
      </c>
      <c r="E3" t="str">
        <f t="shared" ref="E3:E66" si="0">"Q" &amp; ROUNDUP(MONTH(B3)/3, 0)</f>
        <v>Q3</v>
      </c>
    </row>
    <row r="4" spans="1:5" x14ac:dyDescent="0.25">
      <c r="A4" s="2">
        <v>45427</v>
      </c>
      <c r="B4">
        <f>YEAR(public_dim_date[[#This Row],[date_key]])</f>
        <v>2024</v>
      </c>
      <c r="C4">
        <f>MONTH(public_dim_date[[#This Row],[date_key]])</f>
        <v>5</v>
      </c>
      <c r="D4">
        <f>DAY(public_dim_date[[#This Row],[date_key]])</f>
        <v>15</v>
      </c>
      <c r="E4" t="str">
        <f t="shared" si="0"/>
        <v>Q3</v>
      </c>
    </row>
    <row r="5" spans="1:5" x14ac:dyDescent="0.25">
      <c r="A5" s="2">
        <v>45428</v>
      </c>
      <c r="B5">
        <f>YEAR(public_dim_date[[#This Row],[date_key]])</f>
        <v>2024</v>
      </c>
      <c r="C5">
        <f>MONTH(public_dim_date[[#This Row],[date_key]])</f>
        <v>5</v>
      </c>
      <c r="D5">
        <f>DAY(public_dim_date[[#This Row],[date_key]])</f>
        <v>16</v>
      </c>
      <c r="E5" t="str">
        <f t="shared" si="0"/>
        <v>Q3</v>
      </c>
    </row>
    <row r="6" spans="1:5" x14ac:dyDescent="0.25">
      <c r="A6" s="2">
        <v>45429</v>
      </c>
      <c r="B6">
        <f>YEAR(public_dim_date[[#This Row],[date_key]])</f>
        <v>2024</v>
      </c>
      <c r="C6">
        <f>MONTH(public_dim_date[[#This Row],[date_key]])</f>
        <v>5</v>
      </c>
      <c r="D6">
        <f>DAY(public_dim_date[[#This Row],[date_key]])</f>
        <v>17</v>
      </c>
      <c r="E6" t="str">
        <f t="shared" si="0"/>
        <v>Q3</v>
      </c>
    </row>
    <row r="7" spans="1:5" x14ac:dyDescent="0.25">
      <c r="A7" s="2">
        <v>45430</v>
      </c>
      <c r="B7">
        <f>YEAR(public_dim_date[[#This Row],[date_key]])</f>
        <v>2024</v>
      </c>
      <c r="C7">
        <f>MONTH(public_dim_date[[#This Row],[date_key]])</f>
        <v>5</v>
      </c>
      <c r="D7">
        <f>DAY(public_dim_date[[#This Row],[date_key]])</f>
        <v>18</v>
      </c>
      <c r="E7" t="str">
        <f t="shared" si="0"/>
        <v>Q3</v>
      </c>
    </row>
    <row r="8" spans="1:5" x14ac:dyDescent="0.25">
      <c r="A8" s="2">
        <v>45431</v>
      </c>
      <c r="B8">
        <f>YEAR(public_dim_date[[#This Row],[date_key]])</f>
        <v>2024</v>
      </c>
      <c r="C8">
        <f>MONTH(public_dim_date[[#This Row],[date_key]])</f>
        <v>5</v>
      </c>
      <c r="D8">
        <f>DAY(public_dim_date[[#This Row],[date_key]])</f>
        <v>19</v>
      </c>
      <c r="E8" t="str">
        <f t="shared" si="0"/>
        <v>Q3</v>
      </c>
    </row>
    <row r="9" spans="1:5" x14ac:dyDescent="0.25">
      <c r="A9" s="2">
        <v>45432</v>
      </c>
      <c r="B9">
        <f>YEAR(public_dim_date[[#This Row],[date_key]])</f>
        <v>2024</v>
      </c>
      <c r="C9">
        <f>MONTH(public_dim_date[[#This Row],[date_key]])</f>
        <v>5</v>
      </c>
      <c r="D9">
        <f>DAY(public_dim_date[[#This Row],[date_key]])</f>
        <v>20</v>
      </c>
      <c r="E9" t="str">
        <f t="shared" si="0"/>
        <v>Q3</v>
      </c>
    </row>
    <row r="10" spans="1:5" x14ac:dyDescent="0.25">
      <c r="A10" s="2">
        <v>45433</v>
      </c>
      <c r="B10">
        <f>YEAR(public_dim_date[[#This Row],[date_key]])</f>
        <v>2024</v>
      </c>
      <c r="C10">
        <f>MONTH(public_dim_date[[#This Row],[date_key]])</f>
        <v>5</v>
      </c>
      <c r="D10">
        <f>DAY(public_dim_date[[#This Row],[date_key]])</f>
        <v>21</v>
      </c>
      <c r="E10" t="str">
        <f t="shared" si="0"/>
        <v>Q3</v>
      </c>
    </row>
    <row r="11" spans="1:5" x14ac:dyDescent="0.25">
      <c r="A11" s="2">
        <v>45434</v>
      </c>
      <c r="B11">
        <f>YEAR(public_dim_date[[#This Row],[date_key]])</f>
        <v>2024</v>
      </c>
      <c r="C11">
        <f>MONTH(public_dim_date[[#This Row],[date_key]])</f>
        <v>5</v>
      </c>
      <c r="D11">
        <f>DAY(public_dim_date[[#This Row],[date_key]])</f>
        <v>22</v>
      </c>
      <c r="E11" t="str">
        <f t="shared" si="0"/>
        <v>Q3</v>
      </c>
    </row>
    <row r="12" spans="1:5" x14ac:dyDescent="0.25">
      <c r="A12" s="2">
        <v>45435</v>
      </c>
      <c r="B12">
        <f>YEAR(public_dim_date[[#This Row],[date_key]])</f>
        <v>2024</v>
      </c>
      <c r="C12">
        <f>MONTH(public_dim_date[[#This Row],[date_key]])</f>
        <v>5</v>
      </c>
      <c r="D12">
        <f>DAY(public_dim_date[[#This Row],[date_key]])</f>
        <v>23</v>
      </c>
      <c r="E12" t="str">
        <f t="shared" si="0"/>
        <v>Q3</v>
      </c>
    </row>
    <row r="13" spans="1:5" x14ac:dyDescent="0.25">
      <c r="A13" s="2">
        <v>45436</v>
      </c>
      <c r="B13">
        <f>YEAR(public_dim_date[[#This Row],[date_key]])</f>
        <v>2024</v>
      </c>
      <c r="C13">
        <f>MONTH(public_dim_date[[#This Row],[date_key]])</f>
        <v>5</v>
      </c>
      <c r="D13">
        <f>DAY(public_dim_date[[#This Row],[date_key]])</f>
        <v>24</v>
      </c>
      <c r="E13" t="str">
        <f t="shared" si="0"/>
        <v>Q3</v>
      </c>
    </row>
    <row r="14" spans="1:5" x14ac:dyDescent="0.25">
      <c r="A14" s="2">
        <v>45437</v>
      </c>
      <c r="B14">
        <f>YEAR(public_dim_date[[#This Row],[date_key]])</f>
        <v>2024</v>
      </c>
      <c r="C14">
        <f>MONTH(public_dim_date[[#This Row],[date_key]])</f>
        <v>5</v>
      </c>
      <c r="D14">
        <f>DAY(public_dim_date[[#This Row],[date_key]])</f>
        <v>25</v>
      </c>
      <c r="E14" t="str">
        <f t="shared" si="0"/>
        <v>Q3</v>
      </c>
    </row>
    <row r="15" spans="1:5" x14ac:dyDescent="0.25">
      <c r="A15" s="2">
        <v>45438</v>
      </c>
      <c r="B15">
        <f>YEAR(public_dim_date[[#This Row],[date_key]])</f>
        <v>2024</v>
      </c>
      <c r="C15">
        <f>MONTH(public_dim_date[[#This Row],[date_key]])</f>
        <v>5</v>
      </c>
      <c r="D15">
        <f>DAY(public_dim_date[[#This Row],[date_key]])</f>
        <v>26</v>
      </c>
      <c r="E15" t="str">
        <f t="shared" si="0"/>
        <v>Q3</v>
      </c>
    </row>
    <row r="16" spans="1:5" x14ac:dyDescent="0.25">
      <c r="A16" s="2">
        <v>45439</v>
      </c>
      <c r="B16">
        <f>YEAR(public_dim_date[[#This Row],[date_key]])</f>
        <v>2024</v>
      </c>
      <c r="C16">
        <f>MONTH(public_dim_date[[#This Row],[date_key]])</f>
        <v>5</v>
      </c>
      <c r="D16">
        <f>DAY(public_dim_date[[#This Row],[date_key]])</f>
        <v>27</v>
      </c>
      <c r="E16" t="str">
        <f t="shared" si="0"/>
        <v>Q3</v>
      </c>
    </row>
    <row r="17" spans="1:5" x14ac:dyDescent="0.25">
      <c r="A17" s="2">
        <v>45441</v>
      </c>
      <c r="B17">
        <f>YEAR(public_dim_date[[#This Row],[date_key]])</f>
        <v>2024</v>
      </c>
      <c r="C17">
        <f>MONTH(public_dim_date[[#This Row],[date_key]])</f>
        <v>5</v>
      </c>
      <c r="D17">
        <f>DAY(public_dim_date[[#This Row],[date_key]])</f>
        <v>29</v>
      </c>
      <c r="E17" t="str">
        <f t="shared" si="0"/>
        <v>Q3</v>
      </c>
    </row>
    <row r="18" spans="1:5" x14ac:dyDescent="0.25">
      <c r="A18" s="2">
        <v>45442</v>
      </c>
      <c r="B18">
        <f>YEAR(public_dim_date[[#This Row],[date_key]])</f>
        <v>2024</v>
      </c>
      <c r="C18">
        <f>MONTH(public_dim_date[[#This Row],[date_key]])</f>
        <v>5</v>
      </c>
      <c r="D18">
        <f>DAY(public_dim_date[[#This Row],[date_key]])</f>
        <v>30</v>
      </c>
      <c r="E18" t="str">
        <f t="shared" si="0"/>
        <v>Q3</v>
      </c>
    </row>
    <row r="19" spans="1:5" x14ac:dyDescent="0.25">
      <c r="A19" s="2">
        <v>45443</v>
      </c>
      <c r="B19">
        <f>YEAR(public_dim_date[[#This Row],[date_key]])</f>
        <v>2024</v>
      </c>
      <c r="C19">
        <f>MONTH(public_dim_date[[#This Row],[date_key]])</f>
        <v>5</v>
      </c>
      <c r="D19">
        <f>DAY(public_dim_date[[#This Row],[date_key]])</f>
        <v>31</v>
      </c>
      <c r="E19" t="str">
        <f t="shared" si="0"/>
        <v>Q3</v>
      </c>
    </row>
    <row r="20" spans="1:5" x14ac:dyDescent="0.25">
      <c r="A20" s="2">
        <v>45444</v>
      </c>
      <c r="B20">
        <f>YEAR(public_dim_date[[#This Row],[date_key]])</f>
        <v>2024</v>
      </c>
      <c r="C20">
        <f>MONTH(public_dim_date[[#This Row],[date_key]])</f>
        <v>6</v>
      </c>
      <c r="D20">
        <f>DAY(public_dim_date[[#This Row],[date_key]])</f>
        <v>1</v>
      </c>
      <c r="E20" t="str">
        <f t="shared" si="0"/>
        <v>Q3</v>
      </c>
    </row>
    <row r="21" spans="1:5" x14ac:dyDescent="0.25">
      <c r="A21" s="2">
        <v>45445</v>
      </c>
      <c r="B21">
        <f>YEAR(public_dim_date[[#This Row],[date_key]])</f>
        <v>2024</v>
      </c>
      <c r="C21">
        <f>MONTH(public_dim_date[[#This Row],[date_key]])</f>
        <v>6</v>
      </c>
      <c r="D21">
        <f>DAY(public_dim_date[[#This Row],[date_key]])</f>
        <v>2</v>
      </c>
      <c r="E21" t="str">
        <f t="shared" si="0"/>
        <v>Q3</v>
      </c>
    </row>
    <row r="22" spans="1:5" x14ac:dyDescent="0.25">
      <c r="A22" s="2">
        <v>45446</v>
      </c>
      <c r="B22">
        <f>YEAR(public_dim_date[[#This Row],[date_key]])</f>
        <v>2024</v>
      </c>
      <c r="C22">
        <f>MONTH(public_dim_date[[#This Row],[date_key]])</f>
        <v>6</v>
      </c>
      <c r="D22">
        <f>DAY(public_dim_date[[#This Row],[date_key]])</f>
        <v>3</v>
      </c>
      <c r="E22" t="str">
        <f t="shared" si="0"/>
        <v>Q3</v>
      </c>
    </row>
    <row r="23" spans="1:5" x14ac:dyDescent="0.25">
      <c r="A23" s="2">
        <v>45447</v>
      </c>
      <c r="B23">
        <f>YEAR(public_dim_date[[#This Row],[date_key]])</f>
        <v>2024</v>
      </c>
      <c r="C23">
        <f>MONTH(public_dim_date[[#This Row],[date_key]])</f>
        <v>6</v>
      </c>
      <c r="D23">
        <f>DAY(public_dim_date[[#This Row],[date_key]])</f>
        <v>4</v>
      </c>
      <c r="E23" t="str">
        <f t="shared" si="0"/>
        <v>Q3</v>
      </c>
    </row>
    <row r="24" spans="1:5" x14ac:dyDescent="0.25">
      <c r="A24" s="2">
        <v>45449</v>
      </c>
      <c r="B24">
        <f>YEAR(public_dim_date[[#This Row],[date_key]])</f>
        <v>2024</v>
      </c>
      <c r="C24">
        <f>MONTH(public_dim_date[[#This Row],[date_key]])</f>
        <v>6</v>
      </c>
      <c r="D24">
        <f>DAY(public_dim_date[[#This Row],[date_key]])</f>
        <v>6</v>
      </c>
      <c r="E24" t="str">
        <f t="shared" si="0"/>
        <v>Q3</v>
      </c>
    </row>
    <row r="25" spans="1:5" x14ac:dyDescent="0.25">
      <c r="A25" s="2">
        <v>45450</v>
      </c>
      <c r="B25">
        <f>YEAR(public_dim_date[[#This Row],[date_key]])</f>
        <v>2024</v>
      </c>
      <c r="C25">
        <f>MONTH(public_dim_date[[#This Row],[date_key]])</f>
        <v>6</v>
      </c>
      <c r="D25">
        <f>DAY(public_dim_date[[#This Row],[date_key]])</f>
        <v>7</v>
      </c>
      <c r="E25" t="str">
        <f t="shared" si="0"/>
        <v>Q3</v>
      </c>
    </row>
    <row r="26" spans="1:5" x14ac:dyDescent="0.25">
      <c r="A26" s="2">
        <v>45451</v>
      </c>
      <c r="B26">
        <f>YEAR(public_dim_date[[#This Row],[date_key]])</f>
        <v>2024</v>
      </c>
      <c r="C26">
        <f>MONTH(public_dim_date[[#This Row],[date_key]])</f>
        <v>6</v>
      </c>
      <c r="D26">
        <f>DAY(public_dim_date[[#This Row],[date_key]])</f>
        <v>8</v>
      </c>
      <c r="E26" t="str">
        <f t="shared" si="0"/>
        <v>Q3</v>
      </c>
    </row>
    <row r="27" spans="1:5" x14ac:dyDescent="0.25">
      <c r="A27" s="2">
        <v>45452</v>
      </c>
      <c r="B27">
        <f>YEAR(public_dim_date[[#This Row],[date_key]])</f>
        <v>2024</v>
      </c>
      <c r="C27">
        <f>MONTH(public_dim_date[[#This Row],[date_key]])</f>
        <v>6</v>
      </c>
      <c r="D27">
        <f>DAY(public_dim_date[[#This Row],[date_key]])</f>
        <v>9</v>
      </c>
      <c r="E27" t="str">
        <f t="shared" si="0"/>
        <v>Q3</v>
      </c>
    </row>
    <row r="28" spans="1:5" x14ac:dyDescent="0.25">
      <c r="A28" s="2">
        <v>45453</v>
      </c>
      <c r="B28">
        <f>YEAR(public_dim_date[[#This Row],[date_key]])</f>
        <v>2024</v>
      </c>
      <c r="C28">
        <f>MONTH(public_dim_date[[#This Row],[date_key]])</f>
        <v>6</v>
      </c>
      <c r="D28">
        <f>DAY(public_dim_date[[#This Row],[date_key]])</f>
        <v>10</v>
      </c>
      <c r="E28" t="str">
        <f t="shared" si="0"/>
        <v>Q3</v>
      </c>
    </row>
    <row r="29" spans="1:5" x14ac:dyDescent="0.25">
      <c r="A29" s="2">
        <v>45454</v>
      </c>
      <c r="B29">
        <f>YEAR(public_dim_date[[#This Row],[date_key]])</f>
        <v>2024</v>
      </c>
      <c r="C29">
        <f>MONTH(public_dim_date[[#This Row],[date_key]])</f>
        <v>6</v>
      </c>
      <c r="D29">
        <f>DAY(public_dim_date[[#This Row],[date_key]])</f>
        <v>11</v>
      </c>
      <c r="E29" t="str">
        <f t="shared" si="0"/>
        <v>Q3</v>
      </c>
    </row>
    <row r="30" spans="1:5" x14ac:dyDescent="0.25">
      <c r="A30" s="2">
        <v>45455</v>
      </c>
      <c r="B30">
        <f>YEAR(public_dim_date[[#This Row],[date_key]])</f>
        <v>2024</v>
      </c>
      <c r="C30">
        <f>MONTH(public_dim_date[[#This Row],[date_key]])</f>
        <v>6</v>
      </c>
      <c r="D30">
        <f>DAY(public_dim_date[[#This Row],[date_key]])</f>
        <v>12</v>
      </c>
      <c r="E30" t="str">
        <f t="shared" si="0"/>
        <v>Q3</v>
      </c>
    </row>
    <row r="31" spans="1:5" x14ac:dyDescent="0.25">
      <c r="A31" s="2">
        <v>45456</v>
      </c>
      <c r="B31">
        <f>YEAR(public_dim_date[[#This Row],[date_key]])</f>
        <v>2024</v>
      </c>
      <c r="C31">
        <f>MONTH(public_dim_date[[#This Row],[date_key]])</f>
        <v>6</v>
      </c>
      <c r="D31">
        <f>DAY(public_dim_date[[#This Row],[date_key]])</f>
        <v>13</v>
      </c>
      <c r="E31" t="str">
        <f t="shared" si="0"/>
        <v>Q3</v>
      </c>
    </row>
    <row r="32" spans="1:5" x14ac:dyDescent="0.25">
      <c r="A32" s="2">
        <v>45457</v>
      </c>
      <c r="B32">
        <f>YEAR(public_dim_date[[#This Row],[date_key]])</f>
        <v>2024</v>
      </c>
      <c r="C32">
        <f>MONTH(public_dim_date[[#This Row],[date_key]])</f>
        <v>6</v>
      </c>
      <c r="D32">
        <f>DAY(public_dim_date[[#This Row],[date_key]])</f>
        <v>14</v>
      </c>
      <c r="E32" t="str">
        <f t="shared" si="0"/>
        <v>Q3</v>
      </c>
    </row>
    <row r="33" spans="1:5" x14ac:dyDescent="0.25">
      <c r="A33" s="2">
        <v>45458</v>
      </c>
      <c r="B33">
        <f>YEAR(public_dim_date[[#This Row],[date_key]])</f>
        <v>2024</v>
      </c>
      <c r="C33">
        <f>MONTH(public_dim_date[[#This Row],[date_key]])</f>
        <v>6</v>
      </c>
      <c r="D33">
        <f>DAY(public_dim_date[[#This Row],[date_key]])</f>
        <v>15</v>
      </c>
      <c r="E33" t="str">
        <f t="shared" si="0"/>
        <v>Q3</v>
      </c>
    </row>
    <row r="34" spans="1:5" x14ac:dyDescent="0.25">
      <c r="A34" s="2">
        <v>45459</v>
      </c>
      <c r="B34">
        <f>YEAR(public_dim_date[[#This Row],[date_key]])</f>
        <v>2024</v>
      </c>
      <c r="C34">
        <f>MONTH(public_dim_date[[#This Row],[date_key]])</f>
        <v>6</v>
      </c>
      <c r="D34">
        <f>DAY(public_dim_date[[#This Row],[date_key]])</f>
        <v>16</v>
      </c>
      <c r="E34" t="str">
        <f t="shared" si="0"/>
        <v>Q3</v>
      </c>
    </row>
    <row r="35" spans="1:5" x14ac:dyDescent="0.25">
      <c r="A35" s="2">
        <v>45460</v>
      </c>
      <c r="B35">
        <f>YEAR(public_dim_date[[#This Row],[date_key]])</f>
        <v>2024</v>
      </c>
      <c r="C35">
        <f>MONTH(public_dim_date[[#This Row],[date_key]])</f>
        <v>6</v>
      </c>
      <c r="D35">
        <f>DAY(public_dim_date[[#This Row],[date_key]])</f>
        <v>17</v>
      </c>
      <c r="E35" t="str">
        <f t="shared" si="0"/>
        <v>Q3</v>
      </c>
    </row>
    <row r="36" spans="1:5" x14ac:dyDescent="0.25">
      <c r="A36" s="2">
        <v>45461</v>
      </c>
      <c r="B36">
        <f>YEAR(public_dim_date[[#This Row],[date_key]])</f>
        <v>2024</v>
      </c>
      <c r="C36">
        <f>MONTH(public_dim_date[[#This Row],[date_key]])</f>
        <v>6</v>
      </c>
      <c r="D36">
        <f>DAY(public_dim_date[[#This Row],[date_key]])</f>
        <v>18</v>
      </c>
      <c r="E36" t="str">
        <f t="shared" si="0"/>
        <v>Q3</v>
      </c>
    </row>
    <row r="37" spans="1:5" x14ac:dyDescent="0.25">
      <c r="A37" s="2">
        <v>45462</v>
      </c>
      <c r="B37">
        <f>YEAR(public_dim_date[[#This Row],[date_key]])</f>
        <v>2024</v>
      </c>
      <c r="C37">
        <f>MONTH(public_dim_date[[#This Row],[date_key]])</f>
        <v>6</v>
      </c>
      <c r="D37">
        <f>DAY(public_dim_date[[#This Row],[date_key]])</f>
        <v>19</v>
      </c>
      <c r="E37" t="str">
        <f t="shared" si="0"/>
        <v>Q3</v>
      </c>
    </row>
    <row r="38" spans="1:5" x14ac:dyDescent="0.25">
      <c r="A38" s="2">
        <v>45463</v>
      </c>
      <c r="B38">
        <f>YEAR(public_dim_date[[#This Row],[date_key]])</f>
        <v>2024</v>
      </c>
      <c r="C38">
        <f>MONTH(public_dim_date[[#This Row],[date_key]])</f>
        <v>6</v>
      </c>
      <c r="D38">
        <f>DAY(public_dim_date[[#This Row],[date_key]])</f>
        <v>20</v>
      </c>
      <c r="E38" t="str">
        <f t="shared" si="0"/>
        <v>Q3</v>
      </c>
    </row>
    <row r="39" spans="1:5" x14ac:dyDescent="0.25">
      <c r="A39" s="2">
        <v>45464</v>
      </c>
      <c r="B39">
        <f>YEAR(public_dim_date[[#This Row],[date_key]])</f>
        <v>2024</v>
      </c>
      <c r="C39">
        <f>MONTH(public_dim_date[[#This Row],[date_key]])</f>
        <v>6</v>
      </c>
      <c r="D39">
        <f>DAY(public_dim_date[[#This Row],[date_key]])</f>
        <v>21</v>
      </c>
      <c r="E39" t="str">
        <f t="shared" si="0"/>
        <v>Q3</v>
      </c>
    </row>
    <row r="40" spans="1:5" x14ac:dyDescent="0.25">
      <c r="A40" s="2">
        <v>45465</v>
      </c>
      <c r="B40">
        <f>YEAR(public_dim_date[[#This Row],[date_key]])</f>
        <v>2024</v>
      </c>
      <c r="C40">
        <f>MONTH(public_dim_date[[#This Row],[date_key]])</f>
        <v>6</v>
      </c>
      <c r="D40">
        <f>DAY(public_dim_date[[#This Row],[date_key]])</f>
        <v>22</v>
      </c>
      <c r="E40" t="str">
        <f t="shared" si="0"/>
        <v>Q3</v>
      </c>
    </row>
    <row r="41" spans="1:5" x14ac:dyDescent="0.25">
      <c r="A41" s="2">
        <v>45467</v>
      </c>
      <c r="B41">
        <f>YEAR(public_dim_date[[#This Row],[date_key]])</f>
        <v>2024</v>
      </c>
      <c r="C41">
        <f>MONTH(public_dim_date[[#This Row],[date_key]])</f>
        <v>6</v>
      </c>
      <c r="D41">
        <f>DAY(public_dim_date[[#This Row],[date_key]])</f>
        <v>24</v>
      </c>
      <c r="E41" t="str">
        <f t="shared" si="0"/>
        <v>Q3</v>
      </c>
    </row>
    <row r="42" spans="1:5" x14ac:dyDescent="0.25">
      <c r="A42" s="2">
        <v>45468</v>
      </c>
      <c r="B42">
        <f>YEAR(public_dim_date[[#This Row],[date_key]])</f>
        <v>2024</v>
      </c>
      <c r="C42">
        <f>MONTH(public_dim_date[[#This Row],[date_key]])</f>
        <v>6</v>
      </c>
      <c r="D42">
        <f>DAY(public_dim_date[[#This Row],[date_key]])</f>
        <v>25</v>
      </c>
      <c r="E42" t="str">
        <f t="shared" si="0"/>
        <v>Q3</v>
      </c>
    </row>
    <row r="43" spans="1:5" x14ac:dyDescent="0.25">
      <c r="A43" s="2">
        <v>45469</v>
      </c>
      <c r="B43">
        <f>YEAR(public_dim_date[[#This Row],[date_key]])</f>
        <v>2024</v>
      </c>
      <c r="C43">
        <f>MONTH(public_dim_date[[#This Row],[date_key]])</f>
        <v>6</v>
      </c>
      <c r="D43">
        <f>DAY(public_dim_date[[#This Row],[date_key]])</f>
        <v>26</v>
      </c>
      <c r="E43" t="str">
        <f t="shared" si="0"/>
        <v>Q3</v>
      </c>
    </row>
    <row r="44" spans="1:5" x14ac:dyDescent="0.25">
      <c r="A44" s="2">
        <v>45470</v>
      </c>
      <c r="B44">
        <f>YEAR(public_dim_date[[#This Row],[date_key]])</f>
        <v>2024</v>
      </c>
      <c r="C44">
        <f>MONTH(public_dim_date[[#This Row],[date_key]])</f>
        <v>6</v>
      </c>
      <c r="D44">
        <f>DAY(public_dim_date[[#This Row],[date_key]])</f>
        <v>27</v>
      </c>
      <c r="E44" t="str">
        <f t="shared" si="0"/>
        <v>Q3</v>
      </c>
    </row>
    <row r="45" spans="1:5" x14ac:dyDescent="0.25">
      <c r="A45" s="2">
        <v>45471</v>
      </c>
      <c r="B45">
        <f>YEAR(public_dim_date[[#This Row],[date_key]])</f>
        <v>2024</v>
      </c>
      <c r="C45">
        <f>MONTH(public_dim_date[[#This Row],[date_key]])</f>
        <v>6</v>
      </c>
      <c r="D45">
        <f>DAY(public_dim_date[[#This Row],[date_key]])</f>
        <v>28</v>
      </c>
      <c r="E45" t="str">
        <f t="shared" si="0"/>
        <v>Q3</v>
      </c>
    </row>
    <row r="46" spans="1:5" x14ac:dyDescent="0.25">
      <c r="A46" s="2">
        <v>45472</v>
      </c>
      <c r="B46">
        <f>YEAR(public_dim_date[[#This Row],[date_key]])</f>
        <v>2024</v>
      </c>
      <c r="C46">
        <f>MONTH(public_dim_date[[#This Row],[date_key]])</f>
        <v>6</v>
      </c>
      <c r="D46">
        <f>DAY(public_dim_date[[#This Row],[date_key]])</f>
        <v>29</v>
      </c>
      <c r="E46" t="str">
        <f t="shared" si="0"/>
        <v>Q3</v>
      </c>
    </row>
    <row r="47" spans="1:5" x14ac:dyDescent="0.25">
      <c r="A47" s="2">
        <v>45473</v>
      </c>
      <c r="B47">
        <f>YEAR(public_dim_date[[#This Row],[date_key]])</f>
        <v>2024</v>
      </c>
      <c r="C47">
        <f>MONTH(public_dim_date[[#This Row],[date_key]])</f>
        <v>6</v>
      </c>
      <c r="D47">
        <f>DAY(public_dim_date[[#This Row],[date_key]])</f>
        <v>30</v>
      </c>
      <c r="E47" t="str">
        <f t="shared" si="0"/>
        <v>Q3</v>
      </c>
    </row>
    <row r="48" spans="1:5" x14ac:dyDescent="0.25">
      <c r="A48" s="2">
        <v>45474</v>
      </c>
      <c r="B48">
        <f>YEAR(public_dim_date[[#This Row],[date_key]])</f>
        <v>2024</v>
      </c>
      <c r="C48">
        <f>MONTH(public_dim_date[[#This Row],[date_key]])</f>
        <v>7</v>
      </c>
      <c r="D48">
        <f>DAY(public_dim_date[[#This Row],[date_key]])</f>
        <v>1</v>
      </c>
      <c r="E48" t="str">
        <f t="shared" si="0"/>
        <v>Q3</v>
      </c>
    </row>
    <row r="49" spans="1:5" x14ac:dyDescent="0.25">
      <c r="A49" s="2">
        <v>45475</v>
      </c>
      <c r="B49">
        <f>YEAR(public_dim_date[[#This Row],[date_key]])</f>
        <v>2024</v>
      </c>
      <c r="C49">
        <f>MONTH(public_dim_date[[#This Row],[date_key]])</f>
        <v>7</v>
      </c>
      <c r="D49">
        <f>DAY(public_dim_date[[#This Row],[date_key]])</f>
        <v>2</v>
      </c>
      <c r="E49" t="str">
        <f t="shared" si="0"/>
        <v>Q3</v>
      </c>
    </row>
    <row r="50" spans="1:5" x14ac:dyDescent="0.25">
      <c r="A50" s="2">
        <v>45476</v>
      </c>
      <c r="B50">
        <f>YEAR(public_dim_date[[#This Row],[date_key]])</f>
        <v>2024</v>
      </c>
      <c r="C50">
        <f>MONTH(public_dim_date[[#This Row],[date_key]])</f>
        <v>7</v>
      </c>
      <c r="D50">
        <f>DAY(public_dim_date[[#This Row],[date_key]])</f>
        <v>3</v>
      </c>
      <c r="E50" t="str">
        <f t="shared" si="0"/>
        <v>Q3</v>
      </c>
    </row>
    <row r="51" spans="1:5" x14ac:dyDescent="0.25">
      <c r="A51" s="2">
        <v>45477</v>
      </c>
      <c r="B51">
        <f>YEAR(public_dim_date[[#This Row],[date_key]])</f>
        <v>2024</v>
      </c>
      <c r="C51">
        <f>MONTH(public_dim_date[[#This Row],[date_key]])</f>
        <v>7</v>
      </c>
      <c r="D51">
        <f>DAY(public_dim_date[[#This Row],[date_key]])</f>
        <v>4</v>
      </c>
      <c r="E51" t="str">
        <f t="shared" si="0"/>
        <v>Q3</v>
      </c>
    </row>
    <row r="52" spans="1:5" x14ac:dyDescent="0.25">
      <c r="A52" s="2">
        <v>45478</v>
      </c>
      <c r="B52">
        <f>YEAR(public_dim_date[[#This Row],[date_key]])</f>
        <v>2024</v>
      </c>
      <c r="C52">
        <f>MONTH(public_dim_date[[#This Row],[date_key]])</f>
        <v>7</v>
      </c>
      <c r="D52">
        <f>DAY(public_dim_date[[#This Row],[date_key]])</f>
        <v>5</v>
      </c>
      <c r="E52" t="str">
        <f t="shared" si="0"/>
        <v>Q3</v>
      </c>
    </row>
    <row r="53" spans="1:5" x14ac:dyDescent="0.25">
      <c r="A53" s="2">
        <v>45479</v>
      </c>
      <c r="B53">
        <f>YEAR(public_dim_date[[#This Row],[date_key]])</f>
        <v>2024</v>
      </c>
      <c r="C53">
        <f>MONTH(public_dim_date[[#This Row],[date_key]])</f>
        <v>7</v>
      </c>
      <c r="D53">
        <f>DAY(public_dim_date[[#This Row],[date_key]])</f>
        <v>6</v>
      </c>
      <c r="E53" t="str">
        <f t="shared" si="0"/>
        <v>Q3</v>
      </c>
    </row>
    <row r="54" spans="1:5" x14ac:dyDescent="0.25">
      <c r="A54" s="2">
        <v>45480</v>
      </c>
      <c r="B54">
        <f>YEAR(public_dim_date[[#This Row],[date_key]])</f>
        <v>2024</v>
      </c>
      <c r="C54">
        <f>MONTH(public_dim_date[[#This Row],[date_key]])</f>
        <v>7</v>
      </c>
      <c r="D54">
        <f>DAY(public_dim_date[[#This Row],[date_key]])</f>
        <v>7</v>
      </c>
      <c r="E54" t="str">
        <f t="shared" si="0"/>
        <v>Q3</v>
      </c>
    </row>
    <row r="55" spans="1:5" x14ac:dyDescent="0.25">
      <c r="A55" s="2">
        <v>45481</v>
      </c>
      <c r="B55">
        <f>YEAR(public_dim_date[[#This Row],[date_key]])</f>
        <v>2024</v>
      </c>
      <c r="C55">
        <f>MONTH(public_dim_date[[#This Row],[date_key]])</f>
        <v>7</v>
      </c>
      <c r="D55">
        <f>DAY(public_dim_date[[#This Row],[date_key]])</f>
        <v>8</v>
      </c>
      <c r="E55" t="str">
        <f t="shared" si="0"/>
        <v>Q3</v>
      </c>
    </row>
    <row r="56" spans="1:5" x14ac:dyDescent="0.25">
      <c r="A56" s="2">
        <v>45482</v>
      </c>
      <c r="B56">
        <f>YEAR(public_dim_date[[#This Row],[date_key]])</f>
        <v>2024</v>
      </c>
      <c r="C56">
        <f>MONTH(public_dim_date[[#This Row],[date_key]])</f>
        <v>7</v>
      </c>
      <c r="D56">
        <f>DAY(public_dim_date[[#This Row],[date_key]])</f>
        <v>9</v>
      </c>
      <c r="E56" t="str">
        <f t="shared" si="0"/>
        <v>Q3</v>
      </c>
    </row>
    <row r="57" spans="1:5" x14ac:dyDescent="0.25">
      <c r="A57" s="2">
        <v>45483</v>
      </c>
      <c r="B57">
        <f>YEAR(public_dim_date[[#This Row],[date_key]])</f>
        <v>2024</v>
      </c>
      <c r="C57">
        <f>MONTH(public_dim_date[[#This Row],[date_key]])</f>
        <v>7</v>
      </c>
      <c r="D57">
        <f>DAY(public_dim_date[[#This Row],[date_key]])</f>
        <v>10</v>
      </c>
      <c r="E57" t="str">
        <f t="shared" si="0"/>
        <v>Q3</v>
      </c>
    </row>
    <row r="58" spans="1:5" x14ac:dyDescent="0.25">
      <c r="A58" s="2">
        <v>45484</v>
      </c>
      <c r="B58">
        <f>YEAR(public_dim_date[[#This Row],[date_key]])</f>
        <v>2024</v>
      </c>
      <c r="C58">
        <f>MONTH(public_dim_date[[#This Row],[date_key]])</f>
        <v>7</v>
      </c>
      <c r="D58">
        <f>DAY(public_dim_date[[#This Row],[date_key]])</f>
        <v>11</v>
      </c>
      <c r="E58" t="str">
        <f t="shared" si="0"/>
        <v>Q3</v>
      </c>
    </row>
    <row r="59" spans="1:5" x14ac:dyDescent="0.25">
      <c r="A59" s="2">
        <v>45485</v>
      </c>
      <c r="B59">
        <f>YEAR(public_dim_date[[#This Row],[date_key]])</f>
        <v>2024</v>
      </c>
      <c r="C59">
        <f>MONTH(public_dim_date[[#This Row],[date_key]])</f>
        <v>7</v>
      </c>
      <c r="D59">
        <f>DAY(public_dim_date[[#This Row],[date_key]])</f>
        <v>12</v>
      </c>
      <c r="E59" t="str">
        <f t="shared" si="0"/>
        <v>Q3</v>
      </c>
    </row>
    <row r="60" spans="1:5" x14ac:dyDescent="0.25">
      <c r="A60" s="2">
        <v>45486</v>
      </c>
      <c r="B60">
        <f>YEAR(public_dim_date[[#This Row],[date_key]])</f>
        <v>2024</v>
      </c>
      <c r="C60">
        <f>MONTH(public_dim_date[[#This Row],[date_key]])</f>
        <v>7</v>
      </c>
      <c r="D60">
        <f>DAY(public_dim_date[[#This Row],[date_key]])</f>
        <v>13</v>
      </c>
      <c r="E60" t="str">
        <f t="shared" si="0"/>
        <v>Q3</v>
      </c>
    </row>
    <row r="61" spans="1:5" x14ac:dyDescent="0.25">
      <c r="A61" s="2">
        <v>45487</v>
      </c>
      <c r="B61">
        <f>YEAR(public_dim_date[[#This Row],[date_key]])</f>
        <v>2024</v>
      </c>
      <c r="C61">
        <f>MONTH(public_dim_date[[#This Row],[date_key]])</f>
        <v>7</v>
      </c>
      <c r="D61">
        <f>DAY(public_dim_date[[#This Row],[date_key]])</f>
        <v>14</v>
      </c>
      <c r="E61" t="str">
        <f t="shared" si="0"/>
        <v>Q3</v>
      </c>
    </row>
    <row r="62" spans="1:5" x14ac:dyDescent="0.25">
      <c r="A62" s="2">
        <v>45488</v>
      </c>
      <c r="B62">
        <f>YEAR(public_dim_date[[#This Row],[date_key]])</f>
        <v>2024</v>
      </c>
      <c r="C62">
        <f>MONTH(public_dim_date[[#This Row],[date_key]])</f>
        <v>7</v>
      </c>
      <c r="D62">
        <f>DAY(public_dim_date[[#This Row],[date_key]])</f>
        <v>15</v>
      </c>
      <c r="E62" t="str">
        <f t="shared" si="0"/>
        <v>Q3</v>
      </c>
    </row>
    <row r="63" spans="1:5" x14ac:dyDescent="0.25">
      <c r="A63" s="2">
        <v>45489</v>
      </c>
      <c r="B63">
        <f>YEAR(public_dim_date[[#This Row],[date_key]])</f>
        <v>2024</v>
      </c>
      <c r="C63">
        <f>MONTH(public_dim_date[[#This Row],[date_key]])</f>
        <v>7</v>
      </c>
      <c r="D63">
        <f>DAY(public_dim_date[[#This Row],[date_key]])</f>
        <v>16</v>
      </c>
      <c r="E63" t="str">
        <f t="shared" si="0"/>
        <v>Q3</v>
      </c>
    </row>
    <row r="64" spans="1:5" x14ac:dyDescent="0.25">
      <c r="A64" s="2">
        <v>45490</v>
      </c>
      <c r="B64">
        <f>YEAR(public_dim_date[[#This Row],[date_key]])</f>
        <v>2024</v>
      </c>
      <c r="C64">
        <f>MONTH(public_dim_date[[#This Row],[date_key]])</f>
        <v>7</v>
      </c>
      <c r="D64">
        <f>DAY(public_dim_date[[#This Row],[date_key]])</f>
        <v>17</v>
      </c>
      <c r="E64" t="str">
        <f t="shared" si="0"/>
        <v>Q3</v>
      </c>
    </row>
    <row r="65" spans="1:5" x14ac:dyDescent="0.25">
      <c r="A65" s="2">
        <v>45491</v>
      </c>
      <c r="B65">
        <f>YEAR(public_dim_date[[#This Row],[date_key]])</f>
        <v>2024</v>
      </c>
      <c r="C65">
        <f>MONTH(public_dim_date[[#This Row],[date_key]])</f>
        <v>7</v>
      </c>
      <c r="D65">
        <f>DAY(public_dim_date[[#This Row],[date_key]])</f>
        <v>18</v>
      </c>
      <c r="E65" t="str">
        <f t="shared" si="0"/>
        <v>Q3</v>
      </c>
    </row>
    <row r="66" spans="1:5" x14ac:dyDescent="0.25">
      <c r="A66" s="2">
        <v>45492</v>
      </c>
      <c r="B66">
        <f>YEAR(public_dim_date[[#This Row],[date_key]])</f>
        <v>2024</v>
      </c>
      <c r="C66">
        <f>MONTH(public_dim_date[[#This Row],[date_key]])</f>
        <v>7</v>
      </c>
      <c r="D66">
        <f>DAY(public_dim_date[[#This Row],[date_key]])</f>
        <v>19</v>
      </c>
      <c r="E66" t="str">
        <f t="shared" si="0"/>
        <v>Q3</v>
      </c>
    </row>
    <row r="67" spans="1:5" x14ac:dyDescent="0.25">
      <c r="A67" s="2">
        <v>45493</v>
      </c>
      <c r="B67">
        <f>YEAR(public_dim_date[[#This Row],[date_key]])</f>
        <v>2024</v>
      </c>
      <c r="C67">
        <f>MONTH(public_dim_date[[#This Row],[date_key]])</f>
        <v>7</v>
      </c>
      <c r="D67">
        <f>DAY(public_dim_date[[#This Row],[date_key]])</f>
        <v>20</v>
      </c>
      <c r="E67" t="str">
        <f t="shared" ref="E67:E130" si="1">"Q" &amp; ROUNDUP(MONTH(B67)/3, 0)</f>
        <v>Q3</v>
      </c>
    </row>
    <row r="68" spans="1:5" x14ac:dyDescent="0.25">
      <c r="A68" s="2">
        <v>45495</v>
      </c>
      <c r="B68">
        <f>YEAR(public_dim_date[[#This Row],[date_key]])</f>
        <v>2024</v>
      </c>
      <c r="C68">
        <f>MONTH(public_dim_date[[#This Row],[date_key]])</f>
        <v>7</v>
      </c>
      <c r="D68">
        <f>DAY(public_dim_date[[#This Row],[date_key]])</f>
        <v>22</v>
      </c>
      <c r="E68" t="str">
        <f t="shared" si="1"/>
        <v>Q3</v>
      </c>
    </row>
    <row r="69" spans="1:5" x14ac:dyDescent="0.25">
      <c r="A69" s="2">
        <v>45496</v>
      </c>
      <c r="B69">
        <f>YEAR(public_dim_date[[#This Row],[date_key]])</f>
        <v>2024</v>
      </c>
      <c r="C69">
        <f>MONTH(public_dim_date[[#This Row],[date_key]])</f>
        <v>7</v>
      </c>
      <c r="D69">
        <f>DAY(public_dim_date[[#This Row],[date_key]])</f>
        <v>23</v>
      </c>
      <c r="E69" t="str">
        <f t="shared" si="1"/>
        <v>Q3</v>
      </c>
    </row>
    <row r="70" spans="1:5" x14ac:dyDescent="0.25">
      <c r="A70" s="2">
        <v>45497</v>
      </c>
      <c r="B70">
        <f>YEAR(public_dim_date[[#This Row],[date_key]])</f>
        <v>2024</v>
      </c>
      <c r="C70">
        <f>MONTH(public_dim_date[[#This Row],[date_key]])</f>
        <v>7</v>
      </c>
      <c r="D70">
        <f>DAY(public_dim_date[[#This Row],[date_key]])</f>
        <v>24</v>
      </c>
      <c r="E70" t="str">
        <f t="shared" si="1"/>
        <v>Q3</v>
      </c>
    </row>
    <row r="71" spans="1:5" x14ac:dyDescent="0.25">
      <c r="A71" s="2">
        <v>45498</v>
      </c>
      <c r="B71">
        <f>YEAR(public_dim_date[[#This Row],[date_key]])</f>
        <v>2024</v>
      </c>
      <c r="C71">
        <f>MONTH(public_dim_date[[#This Row],[date_key]])</f>
        <v>7</v>
      </c>
      <c r="D71">
        <f>DAY(public_dim_date[[#This Row],[date_key]])</f>
        <v>25</v>
      </c>
      <c r="E71" t="str">
        <f t="shared" si="1"/>
        <v>Q3</v>
      </c>
    </row>
    <row r="72" spans="1:5" x14ac:dyDescent="0.25">
      <c r="A72" s="2">
        <v>45499</v>
      </c>
      <c r="B72">
        <f>YEAR(public_dim_date[[#This Row],[date_key]])</f>
        <v>2024</v>
      </c>
      <c r="C72">
        <f>MONTH(public_dim_date[[#This Row],[date_key]])</f>
        <v>7</v>
      </c>
      <c r="D72">
        <f>DAY(public_dim_date[[#This Row],[date_key]])</f>
        <v>26</v>
      </c>
      <c r="E72" t="str">
        <f t="shared" si="1"/>
        <v>Q3</v>
      </c>
    </row>
    <row r="73" spans="1:5" x14ac:dyDescent="0.25">
      <c r="A73" s="2">
        <v>45500</v>
      </c>
      <c r="B73">
        <f>YEAR(public_dim_date[[#This Row],[date_key]])</f>
        <v>2024</v>
      </c>
      <c r="C73">
        <f>MONTH(public_dim_date[[#This Row],[date_key]])</f>
        <v>7</v>
      </c>
      <c r="D73">
        <f>DAY(public_dim_date[[#This Row],[date_key]])</f>
        <v>27</v>
      </c>
      <c r="E73" t="str">
        <f t="shared" si="1"/>
        <v>Q3</v>
      </c>
    </row>
    <row r="74" spans="1:5" x14ac:dyDescent="0.25">
      <c r="A74" s="2">
        <v>45502</v>
      </c>
      <c r="B74">
        <f>YEAR(public_dim_date[[#This Row],[date_key]])</f>
        <v>2024</v>
      </c>
      <c r="C74">
        <f>MONTH(public_dim_date[[#This Row],[date_key]])</f>
        <v>7</v>
      </c>
      <c r="D74">
        <f>DAY(public_dim_date[[#This Row],[date_key]])</f>
        <v>29</v>
      </c>
      <c r="E74" t="str">
        <f t="shared" si="1"/>
        <v>Q3</v>
      </c>
    </row>
    <row r="75" spans="1:5" x14ac:dyDescent="0.25">
      <c r="A75" s="2">
        <v>45503</v>
      </c>
      <c r="B75">
        <f>YEAR(public_dim_date[[#This Row],[date_key]])</f>
        <v>2024</v>
      </c>
      <c r="C75">
        <f>MONTH(public_dim_date[[#This Row],[date_key]])</f>
        <v>7</v>
      </c>
      <c r="D75">
        <f>DAY(public_dim_date[[#This Row],[date_key]])</f>
        <v>30</v>
      </c>
      <c r="E75" t="str">
        <f t="shared" si="1"/>
        <v>Q3</v>
      </c>
    </row>
    <row r="76" spans="1:5" x14ac:dyDescent="0.25">
      <c r="A76" s="2">
        <v>45504</v>
      </c>
      <c r="B76">
        <f>YEAR(public_dim_date[[#This Row],[date_key]])</f>
        <v>2024</v>
      </c>
      <c r="C76">
        <f>MONTH(public_dim_date[[#This Row],[date_key]])</f>
        <v>7</v>
      </c>
      <c r="D76">
        <f>DAY(public_dim_date[[#This Row],[date_key]])</f>
        <v>31</v>
      </c>
      <c r="E76" t="str">
        <f t="shared" si="1"/>
        <v>Q3</v>
      </c>
    </row>
    <row r="77" spans="1:5" x14ac:dyDescent="0.25">
      <c r="A77" s="2">
        <v>45505</v>
      </c>
      <c r="B77">
        <f>YEAR(public_dim_date[[#This Row],[date_key]])</f>
        <v>2024</v>
      </c>
      <c r="C77">
        <f>MONTH(public_dim_date[[#This Row],[date_key]])</f>
        <v>8</v>
      </c>
      <c r="D77">
        <f>DAY(public_dim_date[[#This Row],[date_key]])</f>
        <v>1</v>
      </c>
      <c r="E77" t="str">
        <f t="shared" si="1"/>
        <v>Q3</v>
      </c>
    </row>
    <row r="78" spans="1:5" x14ac:dyDescent="0.25">
      <c r="A78" s="2">
        <v>45506</v>
      </c>
      <c r="B78">
        <f>YEAR(public_dim_date[[#This Row],[date_key]])</f>
        <v>2024</v>
      </c>
      <c r="C78">
        <f>MONTH(public_dim_date[[#This Row],[date_key]])</f>
        <v>8</v>
      </c>
      <c r="D78">
        <f>DAY(public_dim_date[[#This Row],[date_key]])</f>
        <v>2</v>
      </c>
      <c r="E78" t="str">
        <f t="shared" si="1"/>
        <v>Q3</v>
      </c>
    </row>
    <row r="79" spans="1:5" x14ac:dyDescent="0.25">
      <c r="A79" s="2">
        <v>45507</v>
      </c>
      <c r="B79">
        <f>YEAR(public_dim_date[[#This Row],[date_key]])</f>
        <v>2024</v>
      </c>
      <c r="C79">
        <f>MONTH(public_dim_date[[#This Row],[date_key]])</f>
        <v>8</v>
      </c>
      <c r="D79">
        <f>DAY(public_dim_date[[#This Row],[date_key]])</f>
        <v>3</v>
      </c>
      <c r="E79" t="str">
        <f t="shared" si="1"/>
        <v>Q3</v>
      </c>
    </row>
    <row r="80" spans="1:5" x14ac:dyDescent="0.25">
      <c r="A80" s="2">
        <v>45508</v>
      </c>
      <c r="B80">
        <f>YEAR(public_dim_date[[#This Row],[date_key]])</f>
        <v>2024</v>
      </c>
      <c r="C80">
        <f>MONTH(public_dim_date[[#This Row],[date_key]])</f>
        <v>8</v>
      </c>
      <c r="D80">
        <f>DAY(public_dim_date[[#This Row],[date_key]])</f>
        <v>4</v>
      </c>
      <c r="E80" t="str">
        <f t="shared" si="1"/>
        <v>Q3</v>
      </c>
    </row>
    <row r="81" spans="1:5" x14ac:dyDescent="0.25">
      <c r="A81" s="2">
        <v>45509</v>
      </c>
      <c r="B81">
        <f>YEAR(public_dim_date[[#This Row],[date_key]])</f>
        <v>2024</v>
      </c>
      <c r="C81">
        <f>MONTH(public_dim_date[[#This Row],[date_key]])</f>
        <v>8</v>
      </c>
      <c r="D81">
        <f>DAY(public_dim_date[[#This Row],[date_key]])</f>
        <v>5</v>
      </c>
      <c r="E81" t="str">
        <f t="shared" si="1"/>
        <v>Q3</v>
      </c>
    </row>
    <row r="82" spans="1:5" x14ac:dyDescent="0.25">
      <c r="A82" s="2">
        <v>45510</v>
      </c>
      <c r="B82">
        <f>YEAR(public_dim_date[[#This Row],[date_key]])</f>
        <v>2024</v>
      </c>
      <c r="C82">
        <f>MONTH(public_dim_date[[#This Row],[date_key]])</f>
        <v>8</v>
      </c>
      <c r="D82">
        <f>DAY(public_dim_date[[#This Row],[date_key]])</f>
        <v>6</v>
      </c>
      <c r="E82" t="str">
        <f t="shared" si="1"/>
        <v>Q3</v>
      </c>
    </row>
    <row r="83" spans="1:5" x14ac:dyDescent="0.25">
      <c r="A83" s="2">
        <v>45511</v>
      </c>
      <c r="B83">
        <f>YEAR(public_dim_date[[#This Row],[date_key]])</f>
        <v>2024</v>
      </c>
      <c r="C83">
        <f>MONTH(public_dim_date[[#This Row],[date_key]])</f>
        <v>8</v>
      </c>
      <c r="D83">
        <f>DAY(public_dim_date[[#This Row],[date_key]])</f>
        <v>7</v>
      </c>
      <c r="E83" t="str">
        <f t="shared" si="1"/>
        <v>Q3</v>
      </c>
    </row>
    <row r="84" spans="1:5" x14ac:dyDescent="0.25">
      <c r="A84" s="2">
        <v>45512</v>
      </c>
      <c r="B84">
        <f>YEAR(public_dim_date[[#This Row],[date_key]])</f>
        <v>2024</v>
      </c>
      <c r="C84">
        <f>MONTH(public_dim_date[[#This Row],[date_key]])</f>
        <v>8</v>
      </c>
      <c r="D84">
        <f>DAY(public_dim_date[[#This Row],[date_key]])</f>
        <v>8</v>
      </c>
      <c r="E84" t="str">
        <f t="shared" si="1"/>
        <v>Q3</v>
      </c>
    </row>
    <row r="85" spans="1:5" x14ac:dyDescent="0.25">
      <c r="A85" s="2">
        <v>45513</v>
      </c>
      <c r="B85">
        <f>YEAR(public_dim_date[[#This Row],[date_key]])</f>
        <v>2024</v>
      </c>
      <c r="C85">
        <f>MONTH(public_dim_date[[#This Row],[date_key]])</f>
        <v>8</v>
      </c>
      <c r="D85">
        <f>DAY(public_dim_date[[#This Row],[date_key]])</f>
        <v>9</v>
      </c>
      <c r="E85" t="str">
        <f t="shared" si="1"/>
        <v>Q3</v>
      </c>
    </row>
    <row r="86" spans="1:5" x14ac:dyDescent="0.25">
      <c r="A86" s="2">
        <v>45514</v>
      </c>
      <c r="B86">
        <f>YEAR(public_dim_date[[#This Row],[date_key]])</f>
        <v>2024</v>
      </c>
      <c r="C86">
        <f>MONTH(public_dim_date[[#This Row],[date_key]])</f>
        <v>8</v>
      </c>
      <c r="D86">
        <f>DAY(public_dim_date[[#This Row],[date_key]])</f>
        <v>10</v>
      </c>
      <c r="E86" t="str">
        <f t="shared" si="1"/>
        <v>Q3</v>
      </c>
    </row>
    <row r="87" spans="1:5" x14ac:dyDescent="0.25">
      <c r="A87" s="2">
        <v>45515</v>
      </c>
      <c r="B87">
        <f>YEAR(public_dim_date[[#This Row],[date_key]])</f>
        <v>2024</v>
      </c>
      <c r="C87">
        <f>MONTH(public_dim_date[[#This Row],[date_key]])</f>
        <v>8</v>
      </c>
      <c r="D87">
        <f>DAY(public_dim_date[[#This Row],[date_key]])</f>
        <v>11</v>
      </c>
      <c r="E87" t="str">
        <f t="shared" si="1"/>
        <v>Q3</v>
      </c>
    </row>
    <row r="88" spans="1:5" x14ac:dyDescent="0.25">
      <c r="A88" s="2">
        <v>45516</v>
      </c>
      <c r="B88">
        <f>YEAR(public_dim_date[[#This Row],[date_key]])</f>
        <v>2024</v>
      </c>
      <c r="C88">
        <f>MONTH(public_dim_date[[#This Row],[date_key]])</f>
        <v>8</v>
      </c>
      <c r="D88">
        <f>DAY(public_dim_date[[#This Row],[date_key]])</f>
        <v>12</v>
      </c>
      <c r="E88" t="str">
        <f t="shared" si="1"/>
        <v>Q3</v>
      </c>
    </row>
    <row r="89" spans="1:5" x14ac:dyDescent="0.25">
      <c r="A89" s="2">
        <v>45517</v>
      </c>
      <c r="B89">
        <f>YEAR(public_dim_date[[#This Row],[date_key]])</f>
        <v>2024</v>
      </c>
      <c r="C89">
        <f>MONTH(public_dim_date[[#This Row],[date_key]])</f>
        <v>8</v>
      </c>
      <c r="D89">
        <f>DAY(public_dim_date[[#This Row],[date_key]])</f>
        <v>13</v>
      </c>
      <c r="E89" t="str">
        <f t="shared" si="1"/>
        <v>Q3</v>
      </c>
    </row>
    <row r="90" spans="1:5" x14ac:dyDescent="0.25">
      <c r="A90" s="2">
        <v>45518</v>
      </c>
      <c r="B90">
        <f>YEAR(public_dim_date[[#This Row],[date_key]])</f>
        <v>2024</v>
      </c>
      <c r="C90">
        <f>MONTH(public_dim_date[[#This Row],[date_key]])</f>
        <v>8</v>
      </c>
      <c r="D90">
        <f>DAY(public_dim_date[[#This Row],[date_key]])</f>
        <v>14</v>
      </c>
      <c r="E90" t="str">
        <f t="shared" si="1"/>
        <v>Q3</v>
      </c>
    </row>
    <row r="91" spans="1:5" x14ac:dyDescent="0.25">
      <c r="A91" s="2">
        <v>45519</v>
      </c>
      <c r="B91">
        <f>YEAR(public_dim_date[[#This Row],[date_key]])</f>
        <v>2024</v>
      </c>
      <c r="C91">
        <f>MONTH(public_dim_date[[#This Row],[date_key]])</f>
        <v>8</v>
      </c>
      <c r="D91">
        <f>DAY(public_dim_date[[#This Row],[date_key]])</f>
        <v>15</v>
      </c>
      <c r="E91" t="str">
        <f t="shared" si="1"/>
        <v>Q3</v>
      </c>
    </row>
    <row r="92" spans="1:5" x14ac:dyDescent="0.25">
      <c r="A92" s="2">
        <v>45520</v>
      </c>
      <c r="B92">
        <f>YEAR(public_dim_date[[#This Row],[date_key]])</f>
        <v>2024</v>
      </c>
      <c r="C92">
        <f>MONTH(public_dim_date[[#This Row],[date_key]])</f>
        <v>8</v>
      </c>
      <c r="D92">
        <f>DAY(public_dim_date[[#This Row],[date_key]])</f>
        <v>16</v>
      </c>
      <c r="E92" t="str">
        <f t="shared" si="1"/>
        <v>Q3</v>
      </c>
    </row>
    <row r="93" spans="1:5" x14ac:dyDescent="0.25">
      <c r="A93" s="2">
        <v>45521</v>
      </c>
      <c r="B93">
        <f>YEAR(public_dim_date[[#This Row],[date_key]])</f>
        <v>2024</v>
      </c>
      <c r="C93">
        <f>MONTH(public_dim_date[[#This Row],[date_key]])</f>
        <v>8</v>
      </c>
      <c r="D93">
        <f>DAY(public_dim_date[[#This Row],[date_key]])</f>
        <v>17</v>
      </c>
      <c r="E93" t="str">
        <f t="shared" si="1"/>
        <v>Q3</v>
      </c>
    </row>
    <row r="94" spans="1:5" x14ac:dyDescent="0.25">
      <c r="A94" s="2">
        <v>45522</v>
      </c>
      <c r="B94">
        <f>YEAR(public_dim_date[[#This Row],[date_key]])</f>
        <v>2024</v>
      </c>
      <c r="C94">
        <f>MONTH(public_dim_date[[#This Row],[date_key]])</f>
        <v>8</v>
      </c>
      <c r="D94">
        <f>DAY(public_dim_date[[#This Row],[date_key]])</f>
        <v>18</v>
      </c>
      <c r="E94" t="str">
        <f t="shared" si="1"/>
        <v>Q3</v>
      </c>
    </row>
    <row r="95" spans="1:5" x14ac:dyDescent="0.25">
      <c r="A95" s="2">
        <v>45523</v>
      </c>
      <c r="B95">
        <f>YEAR(public_dim_date[[#This Row],[date_key]])</f>
        <v>2024</v>
      </c>
      <c r="C95">
        <f>MONTH(public_dim_date[[#This Row],[date_key]])</f>
        <v>8</v>
      </c>
      <c r="D95">
        <f>DAY(public_dim_date[[#This Row],[date_key]])</f>
        <v>19</v>
      </c>
      <c r="E95" t="str">
        <f t="shared" si="1"/>
        <v>Q3</v>
      </c>
    </row>
    <row r="96" spans="1:5" x14ac:dyDescent="0.25">
      <c r="A96" s="2">
        <v>45524</v>
      </c>
      <c r="B96">
        <f>YEAR(public_dim_date[[#This Row],[date_key]])</f>
        <v>2024</v>
      </c>
      <c r="C96">
        <f>MONTH(public_dim_date[[#This Row],[date_key]])</f>
        <v>8</v>
      </c>
      <c r="D96">
        <f>DAY(public_dim_date[[#This Row],[date_key]])</f>
        <v>20</v>
      </c>
      <c r="E96" t="str">
        <f t="shared" si="1"/>
        <v>Q3</v>
      </c>
    </row>
    <row r="97" spans="1:5" x14ac:dyDescent="0.25">
      <c r="A97" s="2">
        <v>45525</v>
      </c>
      <c r="B97">
        <f>YEAR(public_dim_date[[#This Row],[date_key]])</f>
        <v>2024</v>
      </c>
      <c r="C97">
        <f>MONTH(public_dim_date[[#This Row],[date_key]])</f>
        <v>8</v>
      </c>
      <c r="D97">
        <f>DAY(public_dim_date[[#This Row],[date_key]])</f>
        <v>21</v>
      </c>
      <c r="E97" t="str">
        <f t="shared" si="1"/>
        <v>Q3</v>
      </c>
    </row>
    <row r="98" spans="1:5" x14ac:dyDescent="0.25">
      <c r="A98" s="2">
        <v>45526</v>
      </c>
      <c r="B98">
        <f>YEAR(public_dim_date[[#This Row],[date_key]])</f>
        <v>2024</v>
      </c>
      <c r="C98">
        <f>MONTH(public_dim_date[[#This Row],[date_key]])</f>
        <v>8</v>
      </c>
      <c r="D98">
        <f>DAY(public_dim_date[[#This Row],[date_key]])</f>
        <v>22</v>
      </c>
      <c r="E98" t="str">
        <f t="shared" si="1"/>
        <v>Q3</v>
      </c>
    </row>
    <row r="99" spans="1:5" x14ac:dyDescent="0.25">
      <c r="A99" s="2">
        <v>45527</v>
      </c>
      <c r="B99">
        <f>YEAR(public_dim_date[[#This Row],[date_key]])</f>
        <v>2024</v>
      </c>
      <c r="C99">
        <f>MONTH(public_dim_date[[#This Row],[date_key]])</f>
        <v>8</v>
      </c>
      <c r="D99">
        <f>DAY(public_dim_date[[#This Row],[date_key]])</f>
        <v>23</v>
      </c>
      <c r="E99" t="str">
        <f t="shared" si="1"/>
        <v>Q3</v>
      </c>
    </row>
    <row r="100" spans="1:5" x14ac:dyDescent="0.25">
      <c r="A100" s="2">
        <v>45528</v>
      </c>
      <c r="B100">
        <f>YEAR(public_dim_date[[#This Row],[date_key]])</f>
        <v>2024</v>
      </c>
      <c r="C100">
        <f>MONTH(public_dim_date[[#This Row],[date_key]])</f>
        <v>8</v>
      </c>
      <c r="D100">
        <f>DAY(public_dim_date[[#This Row],[date_key]])</f>
        <v>24</v>
      </c>
      <c r="E100" t="str">
        <f t="shared" si="1"/>
        <v>Q3</v>
      </c>
    </row>
    <row r="101" spans="1:5" x14ac:dyDescent="0.25">
      <c r="A101" s="2">
        <v>45529</v>
      </c>
      <c r="B101">
        <f>YEAR(public_dim_date[[#This Row],[date_key]])</f>
        <v>2024</v>
      </c>
      <c r="C101">
        <f>MONTH(public_dim_date[[#This Row],[date_key]])</f>
        <v>8</v>
      </c>
      <c r="D101">
        <f>DAY(public_dim_date[[#This Row],[date_key]])</f>
        <v>25</v>
      </c>
      <c r="E101" t="str">
        <f t="shared" si="1"/>
        <v>Q3</v>
      </c>
    </row>
    <row r="102" spans="1:5" x14ac:dyDescent="0.25">
      <c r="A102" s="2">
        <v>45530</v>
      </c>
      <c r="B102">
        <f>YEAR(public_dim_date[[#This Row],[date_key]])</f>
        <v>2024</v>
      </c>
      <c r="C102">
        <f>MONTH(public_dim_date[[#This Row],[date_key]])</f>
        <v>8</v>
      </c>
      <c r="D102">
        <f>DAY(public_dim_date[[#This Row],[date_key]])</f>
        <v>26</v>
      </c>
      <c r="E102" t="str">
        <f t="shared" si="1"/>
        <v>Q3</v>
      </c>
    </row>
    <row r="103" spans="1:5" x14ac:dyDescent="0.25">
      <c r="A103" s="2">
        <v>45531</v>
      </c>
      <c r="B103">
        <f>YEAR(public_dim_date[[#This Row],[date_key]])</f>
        <v>2024</v>
      </c>
      <c r="C103">
        <f>MONTH(public_dim_date[[#This Row],[date_key]])</f>
        <v>8</v>
      </c>
      <c r="D103">
        <f>DAY(public_dim_date[[#This Row],[date_key]])</f>
        <v>27</v>
      </c>
      <c r="E103" t="str">
        <f t="shared" si="1"/>
        <v>Q3</v>
      </c>
    </row>
    <row r="104" spans="1:5" x14ac:dyDescent="0.25">
      <c r="A104" s="2">
        <v>45532</v>
      </c>
      <c r="B104">
        <f>YEAR(public_dim_date[[#This Row],[date_key]])</f>
        <v>2024</v>
      </c>
      <c r="C104">
        <f>MONTH(public_dim_date[[#This Row],[date_key]])</f>
        <v>8</v>
      </c>
      <c r="D104">
        <f>DAY(public_dim_date[[#This Row],[date_key]])</f>
        <v>28</v>
      </c>
      <c r="E104" t="str">
        <f t="shared" si="1"/>
        <v>Q3</v>
      </c>
    </row>
    <row r="105" spans="1:5" x14ac:dyDescent="0.25">
      <c r="A105" s="2">
        <v>45533</v>
      </c>
      <c r="B105">
        <f>YEAR(public_dim_date[[#This Row],[date_key]])</f>
        <v>2024</v>
      </c>
      <c r="C105">
        <f>MONTH(public_dim_date[[#This Row],[date_key]])</f>
        <v>8</v>
      </c>
      <c r="D105">
        <f>DAY(public_dim_date[[#This Row],[date_key]])</f>
        <v>29</v>
      </c>
      <c r="E105" t="str">
        <f t="shared" si="1"/>
        <v>Q3</v>
      </c>
    </row>
    <row r="106" spans="1:5" x14ac:dyDescent="0.25">
      <c r="A106" s="2">
        <v>45534</v>
      </c>
      <c r="B106">
        <f>YEAR(public_dim_date[[#This Row],[date_key]])</f>
        <v>2024</v>
      </c>
      <c r="C106">
        <f>MONTH(public_dim_date[[#This Row],[date_key]])</f>
        <v>8</v>
      </c>
      <c r="D106">
        <f>DAY(public_dim_date[[#This Row],[date_key]])</f>
        <v>30</v>
      </c>
      <c r="E106" t="str">
        <f t="shared" si="1"/>
        <v>Q3</v>
      </c>
    </row>
    <row r="107" spans="1:5" x14ac:dyDescent="0.25">
      <c r="A107" s="2">
        <v>45535</v>
      </c>
      <c r="B107">
        <f>YEAR(public_dim_date[[#This Row],[date_key]])</f>
        <v>2024</v>
      </c>
      <c r="C107">
        <f>MONTH(public_dim_date[[#This Row],[date_key]])</f>
        <v>8</v>
      </c>
      <c r="D107">
        <f>DAY(public_dim_date[[#This Row],[date_key]])</f>
        <v>31</v>
      </c>
      <c r="E107" t="str">
        <f t="shared" si="1"/>
        <v>Q3</v>
      </c>
    </row>
    <row r="108" spans="1:5" x14ac:dyDescent="0.25">
      <c r="A108" s="2">
        <v>45536</v>
      </c>
      <c r="B108">
        <f>YEAR(public_dim_date[[#This Row],[date_key]])</f>
        <v>2024</v>
      </c>
      <c r="C108">
        <f>MONTH(public_dim_date[[#This Row],[date_key]])</f>
        <v>9</v>
      </c>
      <c r="D108">
        <f>DAY(public_dim_date[[#This Row],[date_key]])</f>
        <v>1</v>
      </c>
      <c r="E108" t="str">
        <f t="shared" si="1"/>
        <v>Q3</v>
      </c>
    </row>
    <row r="109" spans="1:5" x14ac:dyDescent="0.25">
      <c r="A109" s="2">
        <v>45537</v>
      </c>
      <c r="B109">
        <f>YEAR(public_dim_date[[#This Row],[date_key]])</f>
        <v>2024</v>
      </c>
      <c r="C109">
        <f>MONTH(public_dim_date[[#This Row],[date_key]])</f>
        <v>9</v>
      </c>
      <c r="D109">
        <f>DAY(public_dim_date[[#This Row],[date_key]])</f>
        <v>2</v>
      </c>
      <c r="E109" t="str">
        <f t="shared" si="1"/>
        <v>Q3</v>
      </c>
    </row>
    <row r="110" spans="1:5" x14ac:dyDescent="0.25">
      <c r="A110" s="2">
        <v>45538</v>
      </c>
      <c r="B110">
        <f>YEAR(public_dim_date[[#This Row],[date_key]])</f>
        <v>2024</v>
      </c>
      <c r="C110">
        <f>MONTH(public_dim_date[[#This Row],[date_key]])</f>
        <v>9</v>
      </c>
      <c r="D110">
        <f>DAY(public_dim_date[[#This Row],[date_key]])</f>
        <v>3</v>
      </c>
      <c r="E110" t="str">
        <f t="shared" si="1"/>
        <v>Q3</v>
      </c>
    </row>
    <row r="111" spans="1:5" x14ac:dyDescent="0.25">
      <c r="A111" s="2">
        <v>45539</v>
      </c>
      <c r="B111">
        <f>YEAR(public_dim_date[[#This Row],[date_key]])</f>
        <v>2024</v>
      </c>
      <c r="C111">
        <f>MONTH(public_dim_date[[#This Row],[date_key]])</f>
        <v>9</v>
      </c>
      <c r="D111">
        <f>DAY(public_dim_date[[#This Row],[date_key]])</f>
        <v>4</v>
      </c>
      <c r="E111" t="str">
        <f t="shared" si="1"/>
        <v>Q3</v>
      </c>
    </row>
    <row r="112" spans="1:5" x14ac:dyDescent="0.25">
      <c r="A112" s="2">
        <v>45540</v>
      </c>
      <c r="B112">
        <f>YEAR(public_dim_date[[#This Row],[date_key]])</f>
        <v>2024</v>
      </c>
      <c r="C112">
        <f>MONTH(public_dim_date[[#This Row],[date_key]])</f>
        <v>9</v>
      </c>
      <c r="D112">
        <f>DAY(public_dim_date[[#This Row],[date_key]])</f>
        <v>5</v>
      </c>
      <c r="E112" t="str">
        <f t="shared" si="1"/>
        <v>Q3</v>
      </c>
    </row>
    <row r="113" spans="1:5" x14ac:dyDescent="0.25">
      <c r="A113" s="2">
        <v>45541</v>
      </c>
      <c r="B113">
        <f>YEAR(public_dim_date[[#This Row],[date_key]])</f>
        <v>2024</v>
      </c>
      <c r="C113">
        <f>MONTH(public_dim_date[[#This Row],[date_key]])</f>
        <v>9</v>
      </c>
      <c r="D113">
        <f>DAY(public_dim_date[[#This Row],[date_key]])</f>
        <v>6</v>
      </c>
      <c r="E113" t="str">
        <f t="shared" si="1"/>
        <v>Q3</v>
      </c>
    </row>
    <row r="114" spans="1:5" x14ac:dyDescent="0.25">
      <c r="A114" s="2">
        <v>45542</v>
      </c>
      <c r="B114">
        <f>YEAR(public_dim_date[[#This Row],[date_key]])</f>
        <v>2024</v>
      </c>
      <c r="C114">
        <f>MONTH(public_dim_date[[#This Row],[date_key]])</f>
        <v>9</v>
      </c>
      <c r="D114">
        <f>DAY(public_dim_date[[#This Row],[date_key]])</f>
        <v>7</v>
      </c>
      <c r="E114" t="str">
        <f t="shared" si="1"/>
        <v>Q3</v>
      </c>
    </row>
    <row r="115" spans="1:5" x14ac:dyDescent="0.25">
      <c r="A115" s="2">
        <v>45543</v>
      </c>
      <c r="B115">
        <f>YEAR(public_dim_date[[#This Row],[date_key]])</f>
        <v>2024</v>
      </c>
      <c r="C115">
        <f>MONTH(public_dim_date[[#This Row],[date_key]])</f>
        <v>9</v>
      </c>
      <c r="D115">
        <f>DAY(public_dim_date[[#This Row],[date_key]])</f>
        <v>8</v>
      </c>
      <c r="E115" t="str">
        <f t="shared" si="1"/>
        <v>Q3</v>
      </c>
    </row>
    <row r="116" spans="1:5" x14ac:dyDescent="0.25">
      <c r="A116" s="2">
        <v>45544</v>
      </c>
      <c r="B116">
        <f>YEAR(public_dim_date[[#This Row],[date_key]])</f>
        <v>2024</v>
      </c>
      <c r="C116">
        <f>MONTH(public_dim_date[[#This Row],[date_key]])</f>
        <v>9</v>
      </c>
      <c r="D116">
        <f>DAY(public_dim_date[[#This Row],[date_key]])</f>
        <v>9</v>
      </c>
      <c r="E116" t="str">
        <f t="shared" si="1"/>
        <v>Q3</v>
      </c>
    </row>
    <row r="117" spans="1:5" x14ac:dyDescent="0.25">
      <c r="A117" s="2">
        <v>45545</v>
      </c>
      <c r="B117">
        <f>YEAR(public_dim_date[[#This Row],[date_key]])</f>
        <v>2024</v>
      </c>
      <c r="C117">
        <f>MONTH(public_dim_date[[#This Row],[date_key]])</f>
        <v>9</v>
      </c>
      <c r="D117">
        <f>DAY(public_dim_date[[#This Row],[date_key]])</f>
        <v>10</v>
      </c>
      <c r="E117" t="str">
        <f t="shared" si="1"/>
        <v>Q3</v>
      </c>
    </row>
    <row r="118" spans="1:5" x14ac:dyDescent="0.25">
      <c r="A118" s="2">
        <v>45546</v>
      </c>
      <c r="B118">
        <f>YEAR(public_dim_date[[#This Row],[date_key]])</f>
        <v>2024</v>
      </c>
      <c r="C118">
        <f>MONTH(public_dim_date[[#This Row],[date_key]])</f>
        <v>9</v>
      </c>
      <c r="D118">
        <f>DAY(public_dim_date[[#This Row],[date_key]])</f>
        <v>11</v>
      </c>
      <c r="E118" t="str">
        <f t="shared" si="1"/>
        <v>Q3</v>
      </c>
    </row>
    <row r="119" spans="1:5" x14ac:dyDescent="0.25">
      <c r="A119" s="2">
        <v>45547</v>
      </c>
      <c r="B119">
        <f>YEAR(public_dim_date[[#This Row],[date_key]])</f>
        <v>2024</v>
      </c>
      <c r="C119">
        <f>MONTH(public_dim_date[[#This Row],[date_key]])</f>
        <v>9</v>
      </c>
      <c r="D119">
        <f>DAY(public_dim_date[[#This Row],[date_key]])</f>
        <v>12</v>
      </c>
      <c r="E119" t="str">
        <f t="shared" si="1"/>
        <v>Q3</v>
      </c>
    </row>
    <row r="120" spans="1:5" x14ac:dyDescent="0.25">
      <c r="A120" s="2">
        <v>45548</v>
      </c>
      <c r="B120">
        <f>YEAR(public_dim_date[[#This Row],[date_key]])</f>
        <v>2024</v>
      </c>
      <c r="C120">
        <f>MONTH(public_dim_date[[#This Row],[date_key]])</f>
        <v>9</v>
      </c>
      <c r="D120">
        <f>DAY(public_dim_date[[#This Row],[date_key]])</f>
        <v>13</v>
      </c>
      <c r="E120" t="str">
        <f t="shared" si="1"/>
        <v>Q3</v>
      </c>
    </row>
    <row r="121" spans="1:5" x14ac:dyDescent="0.25">
      <c r="A121" s="2">
        <v>45549</v>
      </c>
      <c r="B121">
        <f>YEAR(public_dim_date[[#This Row],[date_key]])</f>
        <v>2024</v>
      </c>
      <c r="C121">
        <f>MONTH(public_dim_date[[#This Row],[date_key]])</f>
        <v>9</v>
      </c>
      <c r="D121">
        <f>DAY(public_dim_date[[#This Row],[date_key]])</f>
        <v>14</v>
      </c>
      <c r="E121" t="str">
        <f t="shared" si="1"/>
        <v>Q3</v>
      </c>
    </row>
    <row r="122" spans="1:5" x14ac:dyDescent="0.25">
      <c r="A122" s="2">
        <v>45550</v>
      </c>
      <c r="B122">
        <f>YEAR(public_dim_date[[#This Row],[date_key]])</f>
        <v>2024</v>
      </c>
      <c r="C122">
        <f>MONTH(public_dim_date[[#This Row],[date_key]])</f>
        <v>9</v>
      </c>
      <c r="D122">
        <f>DAY(public_dim_date[[#This Row],[date_key]])</f>
        <v>15</v>
      </c>
      <c r="E122" t="str">
        <f t="shared" si="1"/>
        <v>Q3</v>
      </c>
    </row>
    <row r="123" spans="1:5" x14ac:dyDescent="0.25">
      <c r="A123" s="2">
        <v>45551</v>
      </c>
      <c r="B123">
        <f>YEAR(public_dim_date[[#This Row],[date_key]])</f>
        <v>2024</v>
      </c>
      <c r="C123">
        <f>MONTH(public_dim_date[[#This Row],[date_key]])</f>
        <v>9</v>
      </c>
      <c r="D123">
        <f>DAY(public_dim_date[[#This Row],[date_key]])</f>
        <v>16</v>
      </c>
      <c r="E123" t="str">
        <f t="shared" si="1"/>
        <v>Q3</v>
      </c>
    </row>
    <row r="124" spans="1:5" x14ac:dyDescent="0.25">
      <c r="A124" s="2">
        <v>45552</v>
      </c>
      <c r="B124">
        <f>YEAR(public_dim_date[[#This Row],[date_key]])</f>
        <v>2024</v>
      </c>
      <c r="C124">
        <f>MONTH(public_dim_date[[#This Row],[date_key]])</f>
        <v>9</v>
      </c>
      <c r="D124">
        <f>DAY(public_dim_date[[#This Row],[date_key]])</f>
        <v>17</v>
      </c>
      <c r="E124" t="str">
        <f t="shared" si="1"/>
        <v>Q3</v>
      </c>
    </row>
    <row r="125" spans="1:5" x14ac:dyDescent="0.25">
      <c r="A125" s="2">
        <v>45553</v>
      </c>
      <c r="B125">
        <f>YEAR(public_dim_date[[#This Row],[date_key]])</f>
        <v>2024</v>
      </c>
      <c r="C125">
        <f>MONTH(public_dim_date[[#This Row],[date_key]])</f>
        <v>9</v>
      </c>
      <c r="D125">
        <f>DAY(public_dim_date[[#This Row],[date_key]])</f>
        <v>18</v>
      </c>
      <c r="E125" t="str">
        <f t="shared" si="1"/>
        <v>Q3</v>
      </c>
    </row>
    <row r="126" spans="1:5" x14ac:dyDescent="0.25">
      <c r="A126" s="2">
        <v>45554</v>
      </c>
      <c r="B126">
        <f>YEAR(public_dim_date[[#This Row],[date_key]])</f>
        <v>2024</v>
      </c>
      <c r="C126">
        <f>MONTH(public_dim_date[[#This Row],[date_key]])</f>
        <v>9</v>
      </c>
      <c r="D126">
        <f>DAY(public_dim_date[[#This Row],[date_key]])</f>
        <v>19</v>
      </c>
      <c r="E126" t="str">
        <f t="shared" si="1"/>
        <v>Q3</v>
      </c>
    </row>
    <row r="127" spans="1:5" x14ac:dyDescent="0.25">
      <c r="A127" s="2">
        <v>45555</v>
      </c>
      <c r="B127">
        <f>YEAR(public_dim_date[[#This Row],[date_key]])</f>
        <v>2024</v>
      </c>
      <c r="C127">
        <f>MONTH(public_dim_date[[#This Row],[date_key]])</f>
        <v>9</v>
      </c>
      <c r="D127">
        <f>DAY(public_dim_date[[#This Row],[date_key]])</f>
        <v>20</v>
      </c>
      <c r="E127" t="str">
        <f t="shared" si="1"/>
        <v>Q3</v>
      </c>
    </row>
    <row r="128" spans="1:5" x14ac:dyDescent="0.25">
      <c r="A128" s="2">
        <v>45556</v>
      </c>
      <c r="B128">
        <f>YEAR(public_dim_date[[#This Row],[date_key]])</f>
        <v>2024</v>
      </c>
      <c r="C128">
        <f>MONTH(public_dim_date[[#This Row],[date_key]])</f>
        <v>9</v>
      </c>
      <c r="D128">
        <f>DAY(public_dim_date[[#This Row],[date_key]])</f>
        <v>21</v>
      </c>
      <c r="E128" t="str">
        <f t="shared" si="1"/>
        <v>Q3</v>
      </c>
    </row>
    <row r="129" spans="1:5" x14ac:dyDescent="0.25">
      <c r="A129" s="2">
        <v>45557</v>
      </c>
      <c r="B129">
        <f>YEAR(public_dim_date[[#This Row],[date_key]])</f>
        <v>2024</v>
      </c>
      <c r="C129">
        <f>MONTH(public_dim_date[[#This Row],[date_key]])</f>
        <v>9</v>
      </c>
      <c r="D129">
        <f>DAY(public_dim_date[[#This Row],[date_key]])</f>
        <v>22</v>
      </c>
      <c r="E129" t="str">
        <f t="shared" si="1"/>
        <v>Q3</v>
      </c>
    </row>
    <row r="130" spans="1:5" x14ac:dyDescent="0.25">
      <c r="A130" s="2">
        <v>45558</v>
      </c>
      <c r="B130">
        <f>YEAR(public_dim_date[[#This Row],[date_key]])</f>
        <v>2024</v>
      </c>
      <c r="C130">
        <f>MONTH(public_dim_date[[#This Row],[date_key]])</f>
        <v>9</v>
      </c>
      <c r="D130">
        <f>DAY(public_dim_date[[#This Row],[date_key]])</f>
        <v>23</v>
      </c>
      <c r="E130" t="str">
        <f t="shared" si="1"/>
        <v>Q3</v>
      </c>
    </row>
    <row r="131" spans="1:5" x14ac:dyDescent="0.25">
      <c r="A131" s="2">
        <v>45559</v>
      </c>
      <c r="B131">
        <f>YEAR(public_dim_date[[#This Row],[date_key]])</f>
        <v>2024</v>
      </c>
      <c r="C131">
        <f>MONTH(public_dim_date[[#This Row],[date_key]])</f>
        <v>9</v>
      </c>
      <c r="D131">
        <f>DAY(public_dim_date[[#This Row],[date_key]])</f>
        <v>24</v>
      </c>
      <c r="E131" t="str">
        <f t="shared" ref="E131:E194" si="2">"Q" &amp; ROUNDUP(MONTH(B131)/3, 0)</f>
        <v>Q3</v>
      </c>
    </row>
    <row r="132" spans="1:5" x14ac:dyDescent="0.25">
      <c r="A132" s="2">
        <v>45560</v>
      </c>
      <c r="B132">
        <f>YEAR(public_dim_date[[#This Row],[date_key]])</f>
        <v>2024</v>
      </c>
      <c r="C132">
        <f>MONTH(public_dim_date[[#This Row],[date_key]])</f>
        <v>9</v>
      </c>
      <c r="D132">
        <f>DAY(public_dim_date[[#This Row],[date_key]])</f>
        <v>25</v>
      </c>
      <c r="E132" t="str">
        <f t="shared" si="2"/>
        <v>Q3</v>
      </c>
    </row>
    <row r="133" spans="1:5" x14ac:dyDescent="0.25">
      <c r="A133" s="2">
        <v>45561</v>
      </c>
      <c r="B133">
        <f>YEAR(public_dim_date[[#This Row],[date_key]])</f>
        <v>2024</v>
      </c>
      <c r="C133">
        <f>MONTH(public_dim_date[[#This Row],[date_key]])</f>
        <v>9</v>
      </c>
      <c r="D133">
        <f>DAY(public_dim_date[[#This Row],[date_key]])</f>
        <v>26</v>
      </c>
      <c r="E133" t="str">
        <f t="shared" si="2"/>
        <v>Q3</v>
      </c>
    </row>
    <row r="134" spans="1:5" x14ac:dyDescent="0.25">
      <c r="A134" s="2">
        <v>45562</v>
      </c>
      <c r="B134">
        <f>YEAR(public_dim_date[[#This Row],[date_key]])</f>
        <v>2024</v>
      </c>
      <c r="C134">
        <f>MONTH(public_dim_date[[#This Row],[date_key]])</f>
        <v>9</v>
      </c>
      <c r="D134">
        <f>DAY(public_dim_date[[#This Row],[date_key]])</f>
        <v>27</v>
      </c>
      <c r="E134" t="str">
        <f t="shared" si="2"/>
        <v>Q3</v>
      </c>
    </row>
    <row r="135" spans="1:5" x14ac:dyDescent="0.25">
      <c r="A135" s="2">
        <v>45563</v>
      </c>
      <c r="B135">
        <f>YEAR(public_dim_date[[#This Row],[date_key]])</f>
        <v>2024</v>
      </c>
      <c r="C135">
        <f>MONTH(public_dim_date[[#This Row],[date_key]])</f>
        <v>9</v>
      </c>
      <c r="D135">
        <f>DAY(public_dim_date[[#This Row],[date_key]])</f>
        <v>28</v>
      </c>
      <c r="E135" t="str">
        <f t="shared" si="2"/>
        <v>Q3</v>
      </c>
    </row>
    <row r="136" spans="1:5" x14ac:dyDescent="0.25">
      <c r="A136" s="2">
        <v>45564</v>
      </c>
      <c r="B136">
        <f>YEAR(public_dim_date[[#This Row],[date_key]])</f>
        <v>2024</v>
      </c>
      <c r="C136">
        <f>MONTH(public_dim_date[[#This Row],[date_key]])</f>
        <v>9</v>
      </c>
      <c r="D136">
        <f>DAY(public_dim_date[[#This Row],[date_key]])</f>
        <v>29</v>
      </c>
      <c r="E136" t="str">
        <f t="shared" si="2"/>
        <v>Q3</v>
      </c>
    </row>
    <row r="137" spans="1:5" x14ac:dyDescent="0.25">
      <c r="A137" s="2">
        <v>45566</v>
      </c>
      <c r="B137">
        <f>YEAR(public_dim_date[[#This Row],[date_key]])</f>
        <v>2024</v>
      </c>
      <c r="C137">
        <f>MONTH(public_dim_date[[#This Row],[date_key]])</f>
        <v>10</v>
      </c>
      <c r="D137">
        <f>DAY(public_dim_date[[#This Row],[date_key]])</f>
        <v>1</v>
      </c>
      <c r="E137" t="str">
        <f t="shared" si="2"/>
        <v>Q3</v>
      </c>
    </row>
    <row r="138" spans="1:5" x14ac:dyDescent="0.25">
      <c r="A138" s="2">
        <v>45567</v>
      </c>
      <c r="B138">
        <f>YEAR(public_dim_date[[#This Row],[date_key]])</f>
        <v>2024</v>
      </c>
      <c r="C138">
        <f>MONTH(public_dim_date[[#This Row],[date_key]])</f>
        <v>10</v>
      </c>
      <c r="D138">
        <f>DAY(public_dim_date[[#This Row],[date_key]])</f>
        <v>2</v>
      </c>
      <c r="E138" t="str">
        <f t="shared" si="2"/>
        <v>Q3</v>
      </c>
    </row>
    <row r="139" spans="1:5" x14ac:dyDescent="0.25">
      <c r="A139" s="2">
        <v>45568</v>
      </c>
      <c r="B139">
        <f>YEAR(public_dim_date[[#This Row],[date_key]])</f>
        <v>2024</v>
      </c>
      <c r="C139">
        <f>MONTH(public_dim_date[[#This Row],[date_key]])</f>
        <v>10</v>
      </c>
      <c r="D139">
        <f>DAY(public_dim_date[[#This Row],[date_key]])</f>
        <v>3</v>
      </c>
      <c r="E139" t="str">
        <f t="shared" si="2"/>
        <v>Q3</v>
      </c>
    </row>
    <row r="140" spans="1:5" x14ac:dyDescent="0.25">
      <c r="A140" s="2">
        <v>45569</v>
      </c>
      <c r="B140">
        <f>YEAR(public_dim_date[[#This Row],[date_key]])</f>
        <v>2024</v>
      </c>
      <c r="C140">
        <f>MONTH(public_dim_date[[#This Row],[date_key]])</f>
        <v>10</v>
      </c>
      <c r="D140">
        <f>DAY(public_dim_date[[#This Row],[date_key]])</f>
        <v>4</v>
      </c>
      <c r="E140" t="str">
        <f t="shared" si="2"/>
        <v>Q3</v>
      </c>
    </row>
    <row r="141" spans="1:5" x14ac:dyDescent="0.25">
      <c r="A141" s="2">
        <v>45570</v>
      </c>
      <c r="B141">
        <f>YEAR(public_dim_date[[#This Row],[date_key]])</f>
        <v>2024</v>
      </c>
      <c r="C141">
        <f>MONTH(public_dim_date[[#This Row],[date_key]])</f>
        <v>10</v>
      </c>
      <c r="D141">
        <f>DAY(public_dim_date[[#This Row],[date_key]])</f>
        <v>5</v>
      </c>
      <c r="E141" t="str">
        <f t="shared" si="2"/>
        <v>Q3</v>
      </c>
    </row>
    <row r="142" spans="1:5" x14ac:dyDescent="0.25">
      <c r="A142" s="2">
        <v>45571</v>
      </c>
      <c r="B142">
        <f>YEAR(public_dim_date[[#This Row],[date_key]])</f>
        <v>2024</v>
      </c>
      <c r="C142">
        <f>MONTH(public_dim_date[[#This Row],[date_key]])</f>
        <v>10</v>
      </c>
      <c r="D142">
        <f>DAY(public_dim_date[[#This Row],[date_key]])</f>
        <v>6</v>
      </c>
      <c r="E142" t="str">
        <f t="shared" si="2"/>
        <v>Q3</v>
      </c>
    </row>
    <row r="143" spans="1:5" x14ac:dyDescent="0.25">
      <c r="A143" s="2">
        <v>45572</v>
      </c>
      <c r="B143">
        <f>YEAR(public_dim_date[[#This Row],[date_key]])</f>
        <v>2024</v>
      </c>
      <c r="C143">
        <f>MONTH(public_dim_date[[#This Row],[date_key]])</f>
        <v>10</v>
      </c>
      <c r="D143">
        <f>DAY(public_dim_date[[#This Row],[date_key]])</f>
        <v>7</v>
      </c>
      <c r="E143" t="str">
        <f t="shared" si="2"/>
        <v>Q3</v>
      </c>
    </row>
    <row r="144" spans="1:5" x14ac:dyDescent="0.25">
      <c r="A144" s="2">
        <v>45573</v>
      </c>
      <c r="B144">
        <f>YEAR(public_dim_date[[#This Row],[date_key]])</f>
        <v>2024</v>
      </c>
      <c r="C144">
        <f>MONTH(public_dim_date[[#This Row],[date_key]])</f>
        <v>10</v>
      </c>
      <c r="D144">
        <f>DAY(public_dim_date[[#This Row],[date_key]])</f>
        <v>8</v>
      </c>
      <c r="E144" t="str">
        <f t="shared" si="2"/>
        <v>Q3</v>
      </c>
    </row>
    <row r="145" spans="1:5" x14ac:dyDescent="0.25">
      <c r="A145" s="2">
        <v>45574</v>
      </c>
      <c r="B145">
        <f>YEAR(public_dim_date[[#This Row],[date_key]])</f>
        <v>2024</v>
      </c>
      <c r="C145">
        <f>MONTH(public_dim_date[[#This Row],[date_key]])</f>
        <v>10</v>
      </c>
      <c r="D145">
        <f>DAY(public_dim_date[[#This Row],[date_key]])</f>
        <v>9</v>
      </c>
      <c r="E145" t="str">
        <f t="shared" si="2"/>
        <v>Q3</v>
      </c>
    </row>
    <row r="146" spans="1:5" x14ac:dyDescent="0.25">
      <c r="A146" s="2">
        <v>45575</v>
      </c>
      <c r="B146">
        <f>YEAR(public_dim_date[[#This Row],[date_key]])</f>
        <v>2024</v>
      </c>
      <c r="C146">
        <f>MONTH(public_dim_date[[#This Row],[date_key]])</f>
        <v>10</v>
      </c>
      <c r="D146">
        <f>DAY(public_dim_date[[#This Row],[date_key]])</f>
        <v>10</v>
      </c>
      <c r="E146" t="str">
        <f t="shared" si="2"/>
        <v>Q3</v>
      </c>
    </row>
    <row r="147" spans="1:5" x14ac:dyDescent="0.25">
      <c r="A147" s="2">
        <v>45576</v>
      </c>
      <c r="B147">
        <f>YEAR(public_dim_date[[#This Row],[date_key]])</f>
        <v>2024</v>
      </c>
      <c r="C147">
        <f>MONTH(public_dim_date[[#This Row],[date_key]])</f>
        <v>10</v>
      </c>
      <c r="D147">
        <f>DAY(public_dim_date[[#This Row],[date_key]])</f>
        <v>11</v>
      </c>
      <c r="E147" t="str">
        <f t="shared" si="2"/>
        <v>Q3</v>
      </c>
    </row>
    <row r="148" spans="1:5" x14ac:dyDescent="0.25">
      <c r="A148" s="2">
        <v>45577</v>
      </c>
      <c r="B148">
        <f>YEAR(public_dim_date[[#This Row],[date_key]])</f>
        <v>2024</v>
      </c>
      <c r="C148">
        <f>MONTH(public_dim_date[[#This Row],[date_key]])</f>
        <v>10</v>
      </c>
      <c r="D148">
        <f>DAY(public_dim_date[[#This Row],[date_key]])</f>
        <v>12</v>
      </c>
      <c r="E148" t="str">
        <f t="shared" si="2"/>
        <v>Q3</v>
      </c>
    </row>
    <row r="149" spans="1:5" x14ac:dyDescent="0.25">
      <c r="A149" s="2">
        <v>45578</v>
      </c>
      <c r="B149">
        <f>YEAR(public_dim_date[[#This Row],[date_key]])</f>
        <v>2024</v>
      </c>
      <c r="C149">
        <f>MONTH(public_dim_date[[#This Row],[date_key]])</f>
        <v>10</v>
      </c>
      <c r="D149">
        <f>DAY(public_dim_date[[#This Row],[date_key]])</f>
        <v>13</v>
      </c>
      <c r="E149" t="str">
        <f t="shared" si="2"/>
        <v>Q3</v>
      </c>
    </row>
    <row r="150" spans="1:5" x14ac:dyDescent="0.25">
      <c r="A150" s="2">
        <v>45579</v>
      </c>
      <c r="B150">
        <f>YEAR(public_dim_date[[#This Row],[date_key]])</f>
        <v>2024</v>
      </c>
      <c r="C150">
        <f>MONTH(public_dim_date[[#This Row],[date_key]])</f>
        <v>10</v>
      </c>
      <c r="D150">
        <f>DAY(public_dim_date[[#This Row],[date_key]])</f>
        <v>14</v>
      </c>
      <c r="E150" t="str">
        <f t="shared" si="2"/>
        <v>Q3</v>
      </c>
    </row>
    <row r="151" spans="1:5" x14ac:dyDescent="0.25">
      <c r="A151" s="2">
        <v>45580</v>
      </c>
      <c r="B151">
        <f>YEAR(public_dim_date[[#This Row],[date_key]])</f>
        <v>2024</v>
      </c>
      <c r="C151">
        <f>MONTH(public_dim_date[[#This Row],[date_key]])</f>
        <v>10</v>
      </c>
      <c r="D151">
        <f>DAY(public_dim_date[[#This Row],[date_key]])</f>
        <v>15</v>
      </c>
      <c r="E151" t="str">
        <f t="shared" si="2"/>
        <v>Q3</v>
      </c>
    </row>
    <row r="152" spans="1:5" x14ac:dyDescent="0.25">
      <c r="A152" s="2">
        <v>45582</v>
      </c>
      <c r="B152">
        <f>YEAR(public_dim_date[[#This Row],[date_key]])</f>
        <v>2024</v>
      </c>
      <c r="C152">
        <f>MONTH(public_dim_date[[#This Row],[date_key]])</f>
        <v>10</v>
      </c>
      <c r="D152">
        <f>DAY(public_dim_date[[#This Row],[date_key]])</f>
        <v>17</v>
      </c>
      <c r="E152" t="str">
        <f t="shared" si="2"/>
        <v>Q3</v>
      </c>
    </row>
    <row r="153" spans="1:5" x14ac:dyDescent="0.25">
      <c r="A153" s="2">
        <v>45583</v>
      </c>
      <c r="B153">
        <f>YEAR(public_dim_date[[#This Row],[date_key]])</f>
        <v>2024</v>
      </c>
      <c r="C153">
        <f>MONTH(public_dim_date[[#This Row],[date_key]])</f>
        <v>10</v>
      </c>
      <c r="D153">
        <f>DAY(public_dim_date[[#This Row],[date_key]])</f>
        <v>18</v>
      </c>
      <c r="E153" t="str">
        <f t="shared" si="2"/>
        <v>Q3</v>
      </c>
    </row>
    <row r="154" spans="1:5" x14ac:dyDescent="0.25">
      <c r="A154" s="2">
        <v>45584</v>
      </c>
      <c r="B154">
        <f>YEAR(public_dim_date[[#This Row],[date_key]])</f>
        <v>2024</v>
      </c>
      <c r="C154">
        <f>MONTH(public_dim_date[[#This Row],[date_key]])</f>
        <v>10</v>
      </c>
      <c r="D154">
        <f>DAY(public_dim_date[[#This Row],[date_key]])</f>
        <v>19</v>
      </c>
      <c r="E154" t="str">
        <f t="shared" si="2"/>
        <v>Q3</v>
      </c>
    </row>
    <row r="155" spans="1:5" x14ac:dyDescent="0.25">
      <c r="A155" s="2">
        <v>45585</v>
      </c>
      <c r="B155">
        <f>YEAR(public_dim_date[[#This Row],[date_key]])</f>
        <v>2024</v>
      </c>
      <c r="C155">
        <f>MONTH(public_dim_date[[#This Row],[date_key]])</f>
        <v>10</v>
      </c>
      <c r="D155">
        <f>DAY(public_dim_date[[#This Row],[date_key]])</f>
        <v>20</v>
      </c>
      <c r="E155" t="str">
        <f t="shared" si="2"/>
        <v>Q3</v>
      </c>
    </row>
    <row r="156" spans="1:5" x14ac:dyDescent="0.25">
      <c r="A156" s="2">
        <v>45586</v>
      </c>
      <c r="B156">
        <f>YEAR(public_dim_date[[#This Row],[date_key]])</f>
        <v>2024</v>
      </c>
      <c r="C156">
        <f>MONTH(public_dim_date[[#This Row],[date_key]])</f>
        <v>10</v>
      </c>
      <c r="D156">
        <f>DAY(public_dim_date[[#This Row],[date_key]])</f>
        <v>21</v>
      </c>
      <c r="E156" t="str">
        <f t="shared" si="2"/>
        <v>Q3</v>
      </c>
    </row>
    <row r="157" spans="1:5" x14ac:dyDescent="0.25">
      <c r="A157" s="2">
        <v>45587</v>
      </c>
      <c r="B157">
        <f>YEAR(public_dim_date[[#This Row],[date_key]])</f>
        <v>2024</v>
      </c>
      <c r="C157">
        <f>MONTH(public_dim_date[[#This Row],[date_key]])</f>
        <v>10</v>
      </c>
      <c r="D157">
        <f>DAY(public_dim_date[[#This Row],[date_key]])</f>
        <v>22</v>
      </c>
      <c r="E157" t="str">
        <f t="shared" si="2"/>
        <v>Q3</v>
      </c>
    </row>
    <row r="158" spans="1:5" x14ac:dyDescent="0.25">
      <c r="A158" s="2">
        <v>45588</v>
      </c>
      <c r="B158">
        <f>YEAR(public_dim_date[[#This Row],[date_key]])</f>
        <v>2024</v>
      </c>
      <c r="C158">
        <f>MONTH(public_dim_date[[#This Row],[date_key]])</f>
        <v>10</v>
      </c>
      <c r="D158">
        <f>DAY(public_dim_date[[#This Row],[date_key]])</f>
        <v>23</v>
      </c>
      <c r="E158" t="str">
        <f t="shared" si="2"/>
        <v>Q3</v>
      </c>
    </row>
    <row r="159" spans="1:5" x14ac:dyDescent="0.25">
      <c r="A159" s="2">
        <v>45589</v>
      </c>
      <c r="B159">
        <f>YEAR(public_dim_date[[#This Row],[date_key]])</f>
        <v>2024</v>
      </c>
      <c r="C159">
        <f>MONTH(public_dim_date[[#This Row],[date_key]])</f>
        <v>10</v>
      </c>
      <c r="D159">
        <f>DAY(public_dim_date[[#This Row],[date_key]])</f>
        <v>24</v>
      </c>
      <c r="E159" t="str">
        <f t="shared" si="2"/>
        <v>Q3</v>
      </c>
    </row>
    <row r="160" spans="1:5" x14ac:dyDescent="0.25">
      <c r="A160" s="2">
        <v>45590</v>
      </c>
      <c r="B160">
        <f>YEAR(public_dim_date[[#This Row],[date_key]])</f>
        <v>2024</v>
      </c>
      <c r="C160">
        <f>MONTH(public_dim_date[[#This Row],[date_key]])</f>
        <v>10</v>
      </c>
      <c r="D160">
        <f>DAY(public_dim_date[[#This Row],[date_key]])</f>
        <v>25</v>
      </c>
      <c r="E160" t="str">
        <f t="shared" si="2"/>
        <v>Q3</v>
      </c>
    </row>
    <row r="161" spans="1:5" x14ac:dyDescent="0.25">
      <c r="A161" s="2">
        <v>45591</v>
      </c>
      <c r="B161">
        <f>YEAR(public_dim_date[[#This Row],[date_key]])</f>
        <v>2024</v>
      </c>
      <c r="C161">
        <f>MONTH(public_dim_date[[#This Row],[date_key]])</f>
        <v>10</v>
      </c>
      <c r="D161">
        <f>DAY(public_dim_date[[#This Row],[date_key]])</f>
        <v>26</v>
      </c>
      <c r="E161" t="str">
        <f t="shared" si="2"/>
        <v>Q3</v>
      </c>
    </row>
    <row r="162" spans="1:5" x14ac:dyDescent="0.25">
      <c r="A162" s="2">
        <v>45592</v>
      </c>
      <c r="B162">
        <f>YEAR(public_dim_date[[#This Row],[date_key]])</f>
        <v>2024</v>
      </c>
      <c r="C162">
        <f>MONTH(public_dim_date[[#This Row],[date_key]])</f>
        <v>10</v>
      </c>
      <c r="D162">
        <f>DAY(public_dim_date[[#This Row],[date_key]])</f>
        <v>27</v>
      </c>
      <c r="E162" t="str">
        <f t="shared" si="2"/>
        <v>Q3</v>
      </c>
    </row>
    <row r="163" spans="1:5" x14ac:dyDescent="0.25">
      <c r="A163" s="2">
        <v>45593</v>
      </c>
      <c r="B163">
        <f>YEAR(public_dim_date[[#This Row],[date_key]])</f>
        <v>2024</v>
      </c>
      <c r="C163">
        <f>MONTH(public_dim_date[[#This Row],[date_key]])</f>
        <v>10</v>
      </c>
      <c r="D163">
        <f>DAY(public_dim_date[[#This Row],[date_key]])</f>
        <v>28</v>
      </c>
      <c r="E163" t="str">
        <f t="shared" si="2"/>
        <v>Q3</v>
      </c>
    </row>
    <row r="164" spans="1:5" x14ac:dyDescent="0.25">
      <c r="A164" s="2">
        <v>45595</v>
      </c>
      <c r="B164">
        <f>YEAR(public_dim_date[[#This Row],[date_key]])</f>
        <v>2024</v>
      </c>
      <c r="C164">
        <f>MONTH(public_dim_date[[#This Row],[date_key]])</f>
        <v>10</v>
      </c>
      <c r="D164">
        <f>DAY(public_dim_date[[#This Row],[date_key]])</f>
        <v>30</v>
      </c>
      <c r="E164" t="str">
        <f t="shared" si="2"/>
        <v>Q3</v>
      </c>
    </row>
    <row r="165" spans="1:5" x14ac:dyDescent="0.25">
      <c r="A165" s="2">
        <v>45597</v>
      </c>
      <c r="B165">
        <f>YEAR(public_dim_date[[#This Row],[date_key]])</f>
        <v>2024</v>
      </c>
      <c r="C165">
        <f>MONTH(public_dim_date[[#This Row],[date_key]])</f>
        <v>11</v>
      </c>
      <c r="D165">
        <f>DAY(public_dim_date[[#This Row],[date_key]])</f>
        <v>1</v>
      </c>
      <c r="E165" t="str">
        <f t="shared" si="2"/>
        <v>Q3</v>
      </c>
    </row>
    <row r="166" spans="1:5" x14ac:dyDescent="0.25">
      <c r="A166" s="2">
        <v>45598</v>
      </c>
      <c r="B166">
        <f>YEAR(public_dim_date[[#This Row],[date_key]])</f>
        <v>2024</v>
      </c>
      <c r="C166">
        <f>MONTH(public_dim_date[[#This Row],[date_key]])</f>
        <v>11</v>
      </c>
      <c r="D166">
        <f>DAY(public_dim_date[[#This Row],[date_key]])</f>
        <v>2</v>
      </c>
      <c r="E166" t="str">
        <f t="shared" si="2"/>
        <v>Q3</v>
      </c>
    </row>
    <row r="167" spans="1:5" x14ac:dyDescent="0.25">
      <c r="A167" s="2">
        <v>45599</v>
      </c>
      <c r="B167">
        <f>YEAR(public_dim_date[[#This Row],[date_key]])</f>
        <v>2024</v>
      </c>
      <c r="C167">
        <f>MONTH(public_dim_date[[#This Row],[date_key]])</f>
        <v>11</v>
      </c>
      <c r="D167">
        <f>DAY(public_dim_date[[#This Row],[date_key]])</f>
        <v>3</v>
      </c>
      <c r="E167" t="str">
        <f t="shared" si="2"/>
        <v>Q3</v>
      </c>
    </row>
    <row r="168" spans="1:5" x14ac:dyDescent="0.25">
      <c r="A168" s="2">
        <v>45600</v>
      </c>
      <c r="B168">
        <f>YEAR(public_dim_date[[#This Row],[date_key]])</f>
        <v>2024</v>
      </c>
      <c r="C168">
        <f>MONTH(public_dim_date[[#This Row],[date_key]])</f>
        <v>11</v>
      </c>
      <c r="D168">
        <f>DAY(public_dim_date[[#This Row],[date_key]])</f>
        <v>4</v>
      </c>
      <c r="E168" t="str">
        <f t="shared" si="2"/>
        <v>Q3</v>
      </c>
    </row>
    <row r="169" spans="1:5" x14ac:dyDescent="0.25">
      <c r="A169" s="2">
        <v>45601</v>
      </c>
      <c r="B169">
        <f>YEAR(public_dim_date[[#This Row],[date_key]])</f>
        <v>2024</v>
      </c>
      <c r="C169">
        <f>MONTH(public_dim_date[[#This Row],[date_key]])</f>
        <v>11</v>
      </c>
      <c r="D169">
        <f>DAY(public_dim_date[[#This Row],[date_key]])</f>
        <v>5</v>
      </c>
      <c r="E169" t="str">
        <f t="shared" si="2"/>
        <v>Q3</v>
      </c>
    </row>
    <row r="170" spans="1:5" x14ac:dyDescent="0.25">
      <c r="A170" s="2">
        <v>45602</v>
      </c>
      <c r="B170">
        <f>YEAR(public_dim_date[[#This Row],[date_key]])</f>
        <v>2024</v>
      </c>
      <c r="C170">
        <f>MONTH(public_dim_date[[#This Row],[date_key]])</f>
        <v>11</v>
      </c>
      <c r="D170">
        <f>DAY(public_dim_date[[#This Row],[date_key]])</f>
        <v>6</v>
      </c>
      <c r="E170" t="str">
        <f t="shared" si="2"/>
        <v>Q3</v>
      </c>
    </row>
    <row r="171" spans="1:5" x14ac:dyDescent="0.25">
      <c r="A171" s="2">
        <v>45603</v>
      </c>
      <c r="B171">
        <f>YEAR(public_dim_date[[#This Row],[date_key]])</f>
        <v>2024</v>
      </c>
      <c r="C171">
        <f>MONTH(public_dim_date[[#This Row],[date_key]])</f>
        <v>11</v>
      </c>
      <c r="D171">
        <f>DAY(public_dim_date[[#This Row],[date_key]])</f>
        <v>7</v>
      </c>
      <c r="E171" t="str">
        <f t="shared" si="2"/>
        <v>Q3</v>
      </c>
    </row>
    <row r="172" spans="1:5" x14ac:dyDescent="0.25">
      <c r="A172" s="2">
        <v>45604</v>
      </c>
      <c r="B172">
        <f>YEAR(public_dim_date[[#This Row],[date_key]])</f>
        <v>2024</v>
      </c>
      <c r="C172">
        <f>MONTH(public_dim_date[[#This Row],[date_key]])</f>
        <v>11</v>
      </c>
      <c r="D172">
        <f>DAY(public_dim_date[[#This Row],[date_key]])</f>
        <v>8</v>
      </c>
      <c r="E172" t="str">
        <f t="shared" si="2"/>
        <v>Q3</v>
      </c>
    </row>
    <row r="173" spans="1:5" x14ac:dyDescent="0.25">
      <c r="A173" s="2">
        <v>45606</v>
      </c>
      <c r="B173">
        <f>YEAR(public_dim_date[[#This Row],[date_key]])</f>
        <v>2024</v>
      </c>
      <c r="C173">
        <f>MONTH(public_dim_date[[#This Row],[date_key]])</f>
        <v>11</v>
      </c>
      <c r="D173">
        <f>DAY(public_dim_date[[#This Row],[date_key]])</f>
        <v>10</v>
      </c>
      <c r="E173" t="str">
        <f t="shared" si="2"/>
        <v>Q3</v>
      </c>
    </row>
    <row r="174" spans="1:5" x14ac:dyDescent="0.25">
      <c r="A174" s="2">
        <v>45607</v>
      </c>
      <c r="B174">
        <f>YEAR(public_dim_date[[#This Row],[date_key]])</f>
        <v>2024</v>
      </c>
      <c r="C174">
        <f>MONTH(public_dim_date[[#This Row],[date_key]])</f>
        <v>11</v>
      </c>
      <c r="D174">
        <f>DAY(public_dim_date[[#This Row],[date_key]])</f>
        <v>11</v>
      </c>
      <c r="E174" t="str">
        <f t="shared" si="2"/>
        <v>Q3</v>
      </c>
    </row>
    <row r="175" spans="1:5" x14ac:dyDescent="0.25">
      <c r="A175" s="2">
        <v>45608</v>
      </c>
      <c r="B175">
        <f>YEAR(public_dim_date[[#This Row],[date_key]])</f>
        <v>2024</v>
      </c>
      <c r="C175">
        <f>MONTH(public_dim_date[[#This Row],[date_key]])</f>
        <v>11</v>
      </c>
      <c r="D175">
        <f>DAY(public_dim_date[[#This Row],[date_key]])</f>
        <v>12</v>
      </c>
      <c r="E175" t="str">
        <f t="shared" si="2"/>
        <v>Q3</v>
      </c>
    </row>
    <row r="176" spans="1:5" x14ac:dyDescent="0.25">
      <c r="A176" s="2">
        <v>45609</v>
      </c>
      <c r="B176">
        <f>YEAR(public_dim_date[[#This Row],[date_key]])</f>
        <v>2024</v>
      </c>
      <c r="C176">
        <f>MONTH(public_dim_date[[#This Row],[date_key]])</f>
        <v>11</v>
      </c>
      <c r="D176">
        <f>DAY(public_dim_date[[#This Row],[date_key]])</f>
        <v>13</v>
      </c>
      <c r="E176" t="str">
        <f t="shared" si="2"/>
        <v>Q3</v>
      </c>
    </row>
    <row r="177" spans="1:5" x14ac:dyDescent="0.25">
      <c r="A177" s="2">
        <v>45610</v>
      </c>
      <c r="B177">
        <f>YEAR(public_dim_date[[#This Row],[date_key]])</f>
        <v>2024</v>
      </c>
      <c r="C177">
        <f>MONTH(public_dim_date[[#This Row],[date_key]])</f>
        <v>11</v>
      </c>
      <c r="D177">
        <f>DAY(public_dim_date[[#This Row],[date_key]])</f>
        <v>14</v>
      </c>
      <c r="E177" t="str">
        <f t="shared" si="2"/>
        <v>Q3</v>
      </c>
    </row>
    <row r="178" spans="1:5" x14ac:dyDescent="0.25">
      <c r="A178" s="2">
        <v>45612</v>
      </c>
      <c r="B178">
        <f>YEAR(public_dim_date[[#This Row],[date_key]])</f>
        <v>2024</v>
      </c>
      <c r="C178">
        <f>MONTH(public_dim_date[[#This Row],[date_key]])</f>
        <v>11</v>
      </c>
      <c r="D178">
        <f>DAY(public_dim_date[[#This Row],[date_key]])</f>
        <v>16</v>
      </c>
      <c r="E178" t="str">
        <f t="shared" si="2"/>
        <v>Q3</v>
      </c>
    </row>
    <row r="179" spans="1:5" x14ac:dyDescent="0.25">
      <c r="A179" s="2">
        <v>45613</v>
      </c>
      <c r="B179">
        <f>YEAR(public_dim_date[[#This Row],[date_key]])</f>
        <v>2024</v>
      </c>
      <c r="C179">
        <f>MONTH(public_dim_date[[#This Row],[date_key]])</f>
        <v>11</v>
      </c>
      <c r="D179">
        <f>DAY(public_dim_date[[#This Row],[date_key]])</f>
        <v>17</v>
      </c>
      <c r="E179" t="str">
        <f t="shared" si="2"/>
        <v>Q3</v>
      </c>
    </row>
    <row r="180" spans="1:5" x14ac:dyDescent="0.25">
      <c r="A180" s="2">
        <v>45615</v>
      </c>
      <c r="B180">
        <f>YEAR(public_dim_date[[#This Row],[date_key]])</f>
        <v>2024</v>
      </c>
      <c r="C180">
        <f>MONTH(public_dim_date[[#This Row],[date_key]])</f>
        <v>11</v>
      </c>
      <c r="D180">
        <f>DAY(public_dim_date[[#This Row],[date_key]])</f>
        <v>19</v>
      </c>
      <c r="E180" t="str">
        <f t="shared" si="2"/>
        <v>Q3</v>
      </c>
    </row>
    <row r="181" spans="1:5" x14ac:dyDescent="0.25">
      <c r="A181" s="2">
        <v>45616</v>
      </c>
      <c r="B181">
        <f>YEAR(public_dim_date[[#This Row],[date_key]])</f>
        <v>2024</v>
      </c>
      <c r="C181">
        <f>MONTH(public_dim_date[[#This Row],[date_key]])</f>
        <v>11</v>
      </c>
      <c r="D181">
        <f>DAY(public_dim_date[[#This Row],[date_key]])</f>
        <v>20</v>
      </c>
      <c r="E181" t="str">
        <f t="shared" si="2"/>
        <v>Q3</v>
      </c>
    </row>
    <row r="182" spans="1:5" x14ac:dyDescent="0.25">
      <c r="A182" s="2">
        <v>45617</v>
      </c>
      <c r="B182">
        <f>YEAR(public_dim_date[[#This Row],[date_key]])</f>
        <v>2024</v>
      </c>
      <c r="C182">
        <f>MONTH(public_dim_date[[#This Row],[date_key]])</f>
        <v>11</v>
      </c>
      <c r="D182">
        <f>DAY(public_dim_date[[#This Row],[date_key]])</f>
        <v>21</v>
      </c>
      <c r="E182" t="str">
        <f t="shared" si="2"/>
        <v>Q3</v>
      </c>
    </row>
    <row r="183" spans="1:5" x14ac:dyDescent="0.25">
      <c r="A183" s="2">
        <v>45618</v>
      </c>
      <c r="B183">
        <f>YEAR(public_dim_date[[#This Row],[date_key]])</f>
        <v>2024</v>
      </c>
      <c r="C183">
        <f>MONTH(public_dim_date[[#This Row],[date_key]])</f>
        <v>11</v>
      </c>
      <c r="D183">
        <f>DAY(public_dim_date[[#This Row],[date_key]])</f>
        <v>22</v>
      </c>
      <c r="E183" t="str">
        <f t="shared" si="2"/>
        <v>Q3</v>
      </c>
    </row>
    <row r="184" spans="1:5" x14ac:dyDescent="0.25">
      <c r="A184" s="2">
        <v>45619</v>
      </c>
      <c r="B184">
        <f>YEAR(public_dim_date[[#This Row],[date_key]])</f>
        <v>2024</v>
      </c>
      <c r="C184">
        <f>MONTH(public_dim_date[[#This Row],[date_key]])</f>
        <v>11</v>
      </c>
      <c r="D184">
        <f>DAY(public_dim_date[[#This Row],[date_key]])</f>
        <v>23</v>
      </c>
      <c r="E184" t="str">
        <f t="shared" si="2"/>
        <v>Q3</v>
      </c>
    </row>
    <row r="185" spans="1:5" x14ac:dyDescent="0.25">
      <c r="A185" s="2">
        <v>45620</v>
      </c>
      <c r="B185">
        <f>YEAR(public_dim_date[[#This Row],[date_key]])</f>
        <v>2024</v>
      </c>
      <c r="C185">
        <f>MONTH(public_dim_date[[#This Row],[date_key]])</f>
        <v>11</v>
      </c>
      <c r="D185">
        <f>DAY(public_dim_date[[#This Row],[date_key]])</f>
        <v>24</v>
      </c>
      <c r="E185" t="str">
        <f t="shared" si="2"/>
        <v>Q3</v>
      </c>
    </row>
    <row r="186" spans="1:5" x14ac:dyDescent="0.25">
      <c r="A186" s="2">
        <v>45621</v>
      </c>
      <c r="B186">
        <f>YEAR(public_dim_date[[#This Row],[date_key]])</f>
        <v>2024</v>
      </c>
      <c r="C186">
        <f>MONTH(public_dim_date[[#This Row],[date_key]])</f>
        <v>11</v>
      </c>
      <c r="D186">
        <f>DAY(public_dim_date[[#This Row],[date_key]])</f>
        <v>25</v>
      </c>
      <c r="E186" t="str">
        <f t="shared" si="2"/>
        <v>Q3</v>
      </c>
    </row>
    <row r="187" spans="1:5" x14ac:dyDescent="0.25">
      <c r="A187" s="2">
        <v>45622</v>
      </c>
      <c r="B187">
        <f>YEAR(public_dim_date[[#This Row],[date_key]])</f>
        <v>2024</v>
      </c>
      <c r="C187">
        <f>MONTH(public_dim_date[[#This Row],[date_key]])</f>
        <v>11</v>
      </c>
      <c r="D187">
        <f>DAY(public_dim_date[[#This Row],[date_key]])</f>
        <v>26</v>
      </c>
      <c r="E187" t="str">
        <f t="shared" si="2"/>
        <v>Q3</v>
      </c>
    </row>
    <row r="188" spans="1:5" x14ac:dyDescent="0.25">
      <c r="A188" s="2">
        <v>45623</v>
      </c>
      <c r="B188">
        <f>YEAR(public_dim_date[[#This Row],[date_key]])</f>
        <v>2024</v>
      </c>
      <c r="C188">
        <f>MONTH(public_dim_date[[#This Row],[date_key]])</f>
        <v>11</v>
      </c>
      <c r="D188">
        <f>DAY(public_dim_date[[#This Row],[date_key]])</f>
        <v>27</v>
      </c>
      <c r="E188" t="str">
        <f t="shared" si="2"/>
        <v>Q3</v>
      </c>
    </row>
    <row r="189" spans="1:5" x14ac:dyDescent="0.25">
      <c r="A189" s="2">
        <v>45624</v>
      </c>
      <c r="B189">
        <f>YEAR(public_dim_date[[#This Row],[date_key]])</f>
        <v>2024</v>
      </c>
      <c r="C189">
        <f>MONTH(public_dim_date[[#This Row],[date_key]])</f>
        <v>11</v>
      </c>
      <c r="D189">
        <f>DAY(public_dim_date[[#This Row],[date_key]])</f>
        <v>28</v>
      </c>
      <c r="E189" t="str">
        <f t="shared" si="2"/>
        <v>Q3</v>
      </c>
    </row>
    <row r="190" spans="1:5" x14ac:dyDescent="0.25">
      <c r="A190" s="2">
        <v>45625</v>
      </c>
      <c r="B190">
        <f>YEAR(public_dim_date[[#This Row],[date_key]])</f>
        <v>2024</v>
      </c>
      <c r="C190">
        <f>MONTH(public_dim_date[[#This Row],[date_key]])</f>
        <v>11</v>
      </c>
      <c r="D190">
        <f>DAY(public_dim_date[[#This Row],[date_key]])</f>
        <v>29</v>
      </c>
      <c r="E190" t="str">
        <f t="shared" si="2"/>
        <v>Q3</v>
      </c>
    </row>
    <row r="191" spans="1:5" x14ac:dyDescent="0.25">
      <c r="A191" s="2">
        <v>45626</v>
      </c>
      <c r="B191">
        <f>YEAR(public_dim_date[[#This Row],[date_key]])</f>
        <v>2024</v>
      </c>
      <c r="C191">
        <f>MONTH(public_dim_date[[#This Row],[date_key]])</f>
        <v>11</v>
      </c>
      <c r="D191">
        <f>DAY(public_dim_date[[#This Row],[date_key]])</f>
        <v>30</v>
      </c>
      <c r="E191" t="str">
        <f t="shared" si="2"/>
        <v>Q3</v>
      </c>
    </row>
    <row r="192" spans="1:5" x14ac:dyDescent="0.25">
      <c r="A192" s="2">
        <v>45627</v>
      </c>
      <c r="B192">
        <f>YEAR(public_dim_date[[#This Row],[date_key]])</f>
        <v>2024</v>
      </c>
      <c r="C192">
        <f>MONTH(public_dim_date[[#This Row],[date_key]])</f>
        <v>12</v>
      </c>
      <c r="D192">
        <f>DAY(public_dim_date[[#This Row],[date_key]])</f>
        <v>1</v>
      </c>
      <c r="E192" t="str">
        <f t="shared" si="2"/>
        <v>Q3</v>
      </c>
    </row>
    <row r="193" spans="1:5" x14ac:dyDescent="0.25">
      <c r="A193" s="2">
        <v>45628</v>
      </c>
      <c r="B193">
        <f>YEAR(public_dim_date[[#This Row],[date_key]])</f>
        <v>2024</v>
      </c>
      <c r="C193">
        <f>MONTH(public_dim_date[[#This Row],[date_key]])</f>
        <v>12</v>
      </c>
      <c r="D193">
        <f>DAY(public_dim_date[[#This Row],[date_key]])</f>
        <v>2</v>
      </c>
      <c r="E193" t="str">
        <f t="shared" si="2"/>
        <v>Q3</v>
      </c>
    </row>
    <row r="194" spans="1:5" x14ac:dyDescent="0.25">
      <c r="A194" s="2">
        <v>45629</v>
      </c>
      <c r="B194">
        <f>YEAR(public_dim_date[[#This Row],[date_key]])</f>
        <v>2024</v>
      </c>
      <c r="C194">
        <f>MONTH(public_dim_date[[#This Row],[date_key]])</f>
        <v>12</v>
      </c>
      <c r="D194">
        <f>DAY(public_dim_date[[#This Row],[date_key]])</f>
        <v>3</v>
      </c>
      <c r="E194" t="str">
        <f t="shared" si="2"/>
        <v>Q3</v>
      </c>
    </row>
    <row r="195" spans="1:5" x14ac:dyDescent="0.25">
      <c r="A195" s="2">
        <v>45630</v>
      </c>
      <c r="B195">
        <f>YEAR(public_dim_date[[#This Row],[date_key]])</f>
        <v>2024</v>
      </c>
      <c r="C195">
        <f>MONTH(public_dim_date[[#This Row],[date_key]])</f>
        <v>12</v>
      </c>
      <c r="D195">
        <f>DAY(public_dim_date[[#This Row],[date_key]])</f>
        <v>4</v>
      </c>
      <c r="E195" t="str">
        <f t="shared" ref="E195:E258" si="3">"Q" &amp; ROUNDUP(MONTH(B195)/3, 0)</f>
        <v>Q3</v>
      </c>
    </row>
    <row r="196" spans="1:5" x14ac:dyDescent="0.25">
      <c r="A196" s="2">
        <v>45631</v>
      </c>
      <c r="B196">
        <f>YEAR(public_dim_date[[#This Row],[date_key]])</f>
        <v>2024</v>
      </c>
      <c r="C196">
        <f>MONTH(public_dim_date[[#This Row],[date_key]])</f>
        <v>12</v>
      </c>
      <c r="D196">
        <f>DAY(public_dim_date[[#This Row],[date_key]])</f>
        <v>5</v>
      </c>
      <c r="E196" t="str">
        <f t="shared" si="3"/>
        <v>Q3</v>
      </c>
    </row>
    <row r="197" spans="1:5" x14ac:dyDescent="0.25">
      <c r="A197" s="2">
        <v>45632</v>
      </c>
      <c r="B197">
        <f>YEAR(public_dim_date[[#This Row],[date_key]])</f>
        <v>2024</v>
      </c>
      <c r="C197">
        <f>MONTH(public_dim_date[[#This Row],[date_key]])</f>
        <v>12</v>
      </c>
      <c r="D197">
        <f>DAY(public_dim_date[[#This Row],[date_key]])</f>
        <v>6</v>
      </c>
      <c r="E197" t="str">
        <f t="shared" si="3"/>
        <v>Q3</v>
      </c>
    </row>
    <row r="198" spans="1:5" x14ac:dyDescent="0.25">
      <c r="A198" s="2">
        <v>45633</v>
      </c>
      <c r="B198">
        <f>YEAR(public_dim_date[[#This Row],[date_key]])</f>
        <v>2024</v>
      </c>
      <c r="C198">
        <f>MONTH(public_dim_date[[#This Row],[date_key]])</f>
        <v>12</v>
      </c>
      <c r="D198">
        <f>DAY(public_dim_date[[#This Row],[date_key]])</f>
        <v>7</v>
      </c>
      <c r="E198" t="str">
        <f t="shared" si="3"/>
        <v>Q3</v>
      </c>
    </row>
    <row r="199" spans="1:5" x14ac:dyDescent="0.25">
      <c r="A199" s="2">
        <v>45634</v>
      </c>
      <c r="B199">
        <f>YEAR(public_dim_date[[#This Row],[date_key]])</f>
        <v>2024</v>
      </c>
      <c r="C199">
        <f>MONTH(public_dim_date[[#This Row],[date_key]])</f>
        <v>12</v>
      </c>
      <c r="D199">
        <f>DAY(public_dim_date[[#This Row],[date_key]])</f>
        <v>8</v>
      </c>
      <c r="E199" t="str">
        <f t="shared" si="3"/>
        <v>Q3</v>
      </c>
    </row>
    <row r="200" spans="1:5" x14ac:dyDescent="0.25">
      <c r="A200" s="2">
        <v>45636</v>
      </c>
      <c r="B200">
        <f>YEAR(public_dim_date[[#This Row],[date_key]])</f>
        <v>2024</v>
      </c>
      <c r="C200">
        <f>MONTH(public_dim_date[[#This Row],[date_key]])</f>
        <v>12</v>
      </c>
      <c r="D200">
        <f>DAY(public_dim_date[[#This Row],[date_key]])</f>
        <v>10</v>
      </c>
      <c r="E200" t="str">
        <f t="shared" si="3"/>
        <v>Q3</v>
      </c>
    </row>
    <row r="201" spans="1:5" x14ac:dyDescent="0.25">
      <c r="A201" s="2">
        <v>45637</v>
      </c>
      <c r="B201">
        <f>YEAR(public_dim_date[[#This Row],[date_key]])</f>
        <v>2024</v>
      </c>
      <c r="C201">
        <f>MONTH(public_dim_date[[#This Row],[date_key]])</f>
        <v>12</v>
      </c>
      <c r="D201">
        <f>DAY(public_dim_date[[#This Row],[date_key]])</f>
        <v>11</v>
      </c>
      <c r="E201" t="str">
        <f t="shared" si="3"/>
        <v>Q3</v>
      </c>
    </row>
    <row r="202" spans="1:5" x14ac:dyDescent="0.25">
      <c r="A202" s="2">
        <v>45638</v>
      </c>
      <c r="B202">
        <f>YEAR(public_dim_date[[#This Row],[date_key]])</f>
        <v>2024</v>
      </c>
      <c r="C202">
        <f>MONTH(public_dim_date[[#This Row],[date_key]])</f>
        <v>12</v>
      </c>
      <c r="D202">
        <f>DAY(public_dim_date[[#This Row],[date_key]])</f>
        <v>12</v>
      </c>
      <c r="E202" t="str">
        <f t="shared" si="3"/>
        <v>Q3</v>
      </c>
    </row>
    <row r="203" spans="1:5" x14ac:dyDescent="0.25">
      <c r="A203" s="2">
        <v>45639</v>
      </c>
      <c r="B203">
        <f>YEAR(public_dim_date[[#This Row],[date_key]])</f>
        <v>2024</v>
      </c>
      <c r="C203">
        <f>MONTH(public_dim_date[[#This Row],[date_key]])</f>
        <v>12</v>
      </c>
      <c r="D203">
        <f>DAY(public_dim_date[[#This Row],[date_key]])</f>
        <v>13</v>
      </c>
      <c r="E203" t="str">
        <f t="shared" si="3"/>
        <v>Q3</v>
      </c>
    </row>
    <row r="204" spans="1:5" x14ac:dyDescent="0.25">
      <c r="A204" s="2">
        <v>45640</v>
      </c>
      <c r="B204">
        <f>YEAR(public_dim_date[[#This Row],[date_key]])</f>
        <v>2024</v>
      </c>
      <c r="C204">
        <f>MONTH(public_dim_date[[#This Row],[date_key]])</f>
        <v>12</v>
      </c>
      <c r="D204">
        <f>DAY(public_dim_date[[#This Row],[date_key]])</f>
        <v>14</v>
      </c>
      <c r="E204" t="str">
        <f t="shared" si="3"/>
        <v>Q3</v>
      </c>
    </row>
    <row r="205" spans="1:5" x14ac:dyDescent="0.25">
      <c r="A205" s="2">
        <v>45641</v>
      </c>
      <c r="B205">
        <f>YEAR(public_dim_date[[#This Row],[date_key]])</f>
        <v>2024</v>
      </c>
      <c r="C205">
        <f>MONTH(public_dim_date[[#This Row],[date_key]])</f>
        <v>12</v>
      </c>
      <c r="D205">
        <f>DAY(public_dim_date[[#This Row],[date_key]])</f>
        <v>15</v>
      </c>
      <c r="E205" t="str">
        <f t="shared" si="3"/>
        <v>Q3</v>
      </c>
    </row>
    <row r="206" spans="1:5" x14ac:dyDescent="0.25">
      <c r="A206" s="2">
        <v>45642</v>
      </c>
      <c r="B206">
        <f>YEAR(public_dim_date[[#This Row],[date_key]])</f>
        <v>2024</v>
      </c>
      <c r="C206">
        <f>MONTH(public_dim_date[[#This Row],[date_key]])</f>
        <v>12</v>
      </c>
      <c r="D206">
        <f>DAY(public_dim_date[[#This Row],[date_key]])</f>
        <v>16</v>
      </c>
      <c r="E206" t="str">
        <f t="shared" si="3"/>
        <v>Q3</v>
      </c>
    </row>
    <row r="207" spans="1:5" x14ac:dyDescent="0.25">
      <c r="A207" s="2">
        <v>45643</v>
      </c>
      <c r="B207">
        <f>YEAR(public_dim_date[[#This Row],[date_key]])</f>
        <v>2024</v>
      </c>
      <c r="C207">
        <f>MONTH(public_dim_date[[#This Row],[date_key]])</f>
        <v>12</v>
      </c>
      <c r="D207">
        <f>DAY(public_dim_date[[#This Row],[date_key]])</f>
        <v>17</v>
      </c>
      <c r="E207" t="str">
        <f t="shared" si="3"/>
        <v>Q3</v>
      </c>
    </row>
    <row r="208" spans="1:5" x14ac:dyDescent="0.25">
      <c r="A208" s="2">
        <v>45644</v>
      </c>
      <c r="B208">
        <f>YEAR(public_dim_date[[#This Row],[date_key]])</f>
        <v>2024</v>
      </c>
      <c r="C208">
        <f>MONTH(public_dim_date[[#This Row],[date_key]])</f>
        <v>12</v>
      </c>
      <c r="D208">
        <f>DAY(public_dim_date[[#This Row],[date_key]])</f>
        <v>18</v>
      </c>
      <c r="E208" t="str">
        <f t="shared" si="3"/>
        <v>Q3</v>
      </c>
    </row>
    <row r="209" spans="1:5" x14ac:dyDescent="0.25">
      <c r="A209" s="2">
        <v>45645</v>
      </c>
      <c r="B209">
        <f>YEAR(public_dim_date[[#This Row],[date_key]])</f>
        <v>2024</v>
      </c>
      <c r="C209">
        <f>MONTH(public_dim_date[[#This Row],[date_key]])</f>
        <v>12</v>
      </c>
      <c r="D209">
        <f>DAY(public_dim_date[[#This Row],[date_key]])</f>
        <v>19</v>
      </c>
      <c r="E209" t="str">
        <f t="shared" si="3"/>
        <v>Q3</v>
      </c>
    </row>
    <row r="210" spans="1:5" x14ac:dyDescent="0.25">
      <c r="A210" s="2">
        <v>45646</v>
      </c>
      <c r="B210">
        <f>YEAR(public_dim_date[[#This Row],[date_key]])</f>
        <v>2024</v>
      </c>
      <c r="C210">
        <f>MONTH(public_dim_date[[#This Row],[date_key]])</f>
        <v>12</v>
      </c>
      <c r="D210">
        <f>DAY(public_dim_date[[#This Row],[date_key]])</f>
        <v>20</v>
      </c>
      <c r="E210" t="str">
        <f t="shared" si="3"/>
        <v>Q3</v>
      </c>
    </row>
    <row r="211" spans="1:5" x14ac:dyDescent="0.25">
      <c r="A211" s="2">
        <v>45647</v>
      </c>
      <c r="B211">
        <f>YEAR(public_dim_date[[#This Row],[date_key]])</f>
        <v>2024</v>
      </c>
      <c r="C211">
        <f>MONTH(public_dim_date[[#This Row],[date_key]])</f>
        <v>12</v>
      </c>
      <c r="D211">
        <f>DAY(public_dim_date[[#This Row],[date_key]])</f>
        <v>21</v>
      </c>
      <c r="E211" t="str">
        <f t="shared" si="3"/>
        <v>Q3</v>
      </c>
    </row>
    <row r="212" spans="1:5" x14ac:dyDescent="0.25">
      <c r="A212" s="2">
        <v>45648</v>
      </c>
      <c r="B212">
        <f>YEAR(public_dim_date[[#This Row],[date_key]])</f>
        <v>2024</v>
      </c>
      <c r="C212">
        <f>MONTH(public_dim_date[[#This Row],[date_key]])</f>
        <v>12</v>
      </c>
      <c r="D212">
        <f>DAY(public_dim_date[[#This Row],[date_key]])</f>
        <v>22</v>
      </c>
      <c r="E212" t="str">
        <f t="shared" si="3"/>
        <v>Q3</v>
      </c>
    </row>
    <row r="213" spans="1:5" x14ac:dyDescent="0.25">
      <c r="A213" s="2">
        <v>45649</v>
      </c>
      <c r="B213">
        <f>YEAR(public_dim_date[[#This Row],[date_key]])</f>
        <v>2024</v>
      </c>
      <c r="C213">
        <f>MONTH(public_dim_date[[#This Row],[date_key]])</f>
        <v>12</v>
      </c>
      <c r="D213">
        <f>DAY(public_dim_date[[#This Row],[date_key]])</f>
        <v>23</v>
      </c>
      <c r="E213" t="str">
        <f t="shared" si="3"/>
        <v>Q3</v>
      </c>
    </row>
    <row r="214" spans="1:5" x14ac:dyDescent="0.25">
      <c r="A214" s="2">
        <v>45650</v>
      </c>
      <c r="B214">
        <f>YEAR(public_dim_date[[#This Row],[date_key]])</f>
        <v>2024</v>
      </c>
      <c r="C214">
        <f>MONTH(public_dim_date[[#This Row],[date_key]])</f>
        <v>12</v>
      </c>
      <c r="D214">
        <f>DAY(public_dim_date[[#This Row],[date_key]])</f>
        <v>24</v>
      </c>
      <c r="E214" t="str">
        <f t="shared" si="3"/>
        <v>Q3</v>
      </c>
    </row>
    <row r="215" spans="1:5" x14ac:dyDescent="0.25">
      <c r="A215" s="2">
        <v>45651</v>
      </c>
      <c r="B215">
        <f>YEAR(public_dim_date[[#This Row],[date_key]])</f>
        <v>2024</v>
      </c>
      <c r="C215">
        <f>MONTH(public_dim_date[[#This Row],[date_key]])</f>
        <v>12</v>
      </c>
      <c r="D215">
        <f>DAY(public_dim_date[[#This Row],[date_key]])</f>
        <v>25</v>
      </c>
      <c r="E215" t="str">
        <f t="shared" si="3"/>
        <v>Q3</v>
      </c>
    </row>
    <row r="216" spans="1:5" x14ac:dyDescent="0.25">
      <c r="A216" s="2">
        <v>45652</v>
      </c>
      <c r="B216">
        <f>YEAR(public_dim_date[[#This Row],[date_key]])</f>
        <v>2024</v>
      </c>
      <c r="C216">
        <f>MONTH(public_dim_date[[#This Row],[date_key]])</f>
        <v>12</v>
      </c>
      <c r="D216">
        <f>DAY(public_dim_date[[#This Row],[date_key]])</f>
        <v>26</v>
      </c>
      <c r="E216" t="str">
        <f t="shared" si="3"/>
        <v>Q3</v>
      </c>
    </row>
    <row r="217" spans="1:5" x14ac:dyDescent="0.25">
      <c r="A217" s="2">
        <v>45654</v>
      </c>
      <c r="B217">
        <f>YEAR(public_dim_date[[#This Row],[date_key]])</f>
        <v>2024</v>
      </c>
      <c r="C217">
        <f>MONTH(public_dim_date[[#This Row],[date_key]])</f>
        <v>12</v>
      </c>
      <c r="D217">
        <f>DAY(public_dim_date[[#This Row],[date_key]])</f>
        <v>28</v>
      </c>
      <c r="E217" t="str">
        <f t="shared" si="3"/>
        <v>Q3</v>
      </c>
    </row>
    <row r="218" spans="1:5" x14ac:dyDescent="0.25">
      <c r="A218" s="2">
        <v>45655</v>
      </c>
      <c r="B218">
        <f>YEAR(public_dim_date[[#This Row],[date_key]])</f>
        <v>2024</v>
      </c>
      <c r="C218">
        <f>MONTH(public_dim_date[[#This Row],[date_key]])</f>
        <v>12</v>
      </c>
      <c r="D218">
        <f>DAY(public_dim_date[[#This Row],[date_key]])</f>
        <v>29</v>
      </c>
      <c r="E218" t="str">
        <f t="shared" si="3"/>
        <v>Q3</v>
      </c>
    </row>
    <row r="219" spans="1:5" x14ac:dyDescent="0.25">
      <c r="A219" s="2">
        <v>45656</v>
      </c>
      <c r="B219">
        <f>YEAR(public_dim_date[[#This Row],[date_key]])</f>
        <v>2024</v>
      </c>
      <c r="C219">
        <f>MONTH(public_dim_date[[#This Row],[date_key]])</f>
        <v>12</v>
      </c>
      <c r="D219">
        <f>DAY(public_dim_date[[#This Row],[date_key]])</f>
        <v>30</v>
      </c>
      <c r="E219" t="str">
        <f t="shared" si="3"/>
        <v>Q3</v>
      </c>
    </row>
    <row r="220" spans="1:5" x14ac:dyDescent="0.25">
      <c r="A220" s="2">
        <v>45658</v>
      </c>
      <c r="B220">
        <f>YEAR(public_dim_date[[#This Row],[date_key]])</f>
        <v>2025</v>
      </c>
      <c r="C220">
        <f>MONTH(public_dim_date[[#This Row],[date_key]])</f>
        <v>1</v>
      </c>
      <c r="D220">
        <f>DAY(public_dim_date[[#This Row],[date_key]])</f>
        <v>1</v>
      </c>
      <c r="E220" t="str">
        <f t="shared" si="3"/>
        <v>Q3</v>
      </c>
    </row>
    <row r="221" spans="1:5" x14ac:dyDescent="0.25">
      <c r="A221" s="2">
        <v>45659</v>
      </c>
      <c r="B221">
        <f>YEAR(public_dim_date[[#This Row],[date_key]])</f>
        <v>2025</v>
      </c>
      <c r="C221">
        <f>MONTH(public_dim_date[[#This Row],[date_key]])</f>
        <v>1</v>
      </c>
      <c r="D221">
        <f>DAY(public_dim_date[[#This Row],[date_key]])</f>
        <v>2</v>
      </c>
      <c r="E221" t="str">
        <f t="shared" si="3"/>
        <v>Q3</v>
      </c>
    </row>
    <row r="222" spans="1:5" x14ac:dyDescent="0.25">
      <c r="A222" s="2">
        <v>45660</v>
      </c>
      <c r="B222">
        <f>YEAR(public_dim_date[[#This Row],[date_key]])</f>
        <v>2025</v>
      </c>
      <c r="C222">
        <f>MONTH(public_dim_date[[#This Row],[date_key]])</f>
        <v>1</v>
      </c>
      <c r="D222">
        <f>DAY(public_dim_date[[#This Row],[date_key]])</f>
        <v>3</v>
      </c>
      <c r="E222" t="str">
        <f t="shared" si="3"/>
        <v>Q3</v>
      </c>
    </row>
    <row r="223" spans="1:5" x14ac:dyDescent="0.25">
      <c r="A223" s="2">
        <v>45661</v>
      </c>
      <c r="B223">
        <f>YEAR(public_dim_date[[#This Row],[date_key]])</f>
        <v>2025</v>
      </c>
      <c r="C223">
        <f>MONTH(public_dim_date[[#This Row],[date_key]])</f>
        <v>1</v>
      </c>
      <c r="D223">
        <f>DAY(public_dim_date[[#This Row],[date_key]])</f>
        <v>4</v>
      </c>
      <c r="E223" t="str">
        <f t="shared" si="3"/>
        <v>Q3</v>
      </c>
    </row>
    <row r="224" spans="1:5" x14ac:dyDescent="0.25">
      <c r="A224" s="2">
        <v>45663</v>
      </c>
      <c r="B224">
        <f>YEAR(public_dim_date[[#This Row],[date_key]])</f>
        <v>2025</v>
      </c>
      <c r="C224">
        <f>MONTH(public_dim_date[[#This Row],[date_key]])</f>
        <v>1</v>
      </c>
      <c r="D224">
        <f>DAY(public_dim_date[[#This Row],[date_key]])</f>
        <v>6</v>
      </c>
      <c r="E224" t="str">
        <f t="shared" si="3"/>
        <v>Q3</v>
      </c>
    </row>
    <row r="225" spans="1:5" x14ac:dyDescent="0.25">
      <c r="A225" s="2">
        <v>45664</v>
      </c>
      <c r="B225">
        <f>YEAR(public_dim_date[[#This Row],[date_key]])</f>
        <v>2025</v>
      </c>
      <c r="C225">
        <f>MONTH(public_dim_date[[#This Row],[date_key]])</f>
        <v>1</v>
      </c>
      <c r="D225">
        <f>DAY(public_dim_date[[#This Row],[date_key]])</f>
        <v>7</v>
      </c>
      <c r="E225" t="str">
        <f t="shared" si="3"/>
        <v>Q3</v>
      </c>
    </row>
    <row r="226" spans="1:5" x14ac:dyDescent="0.25">
      <c r="A226" s="2">
        <v>45665</v>
      </c>
      <c r="B226">
        <f>YEAR(public_dim_date[[#This Row],[date_key]])</f>
        <v>2025</v>
      </c>
      <c r="C226">
        <f>MONTH(public_dim_date[[#This Row],[date_key]])</f>
        <v>1</v>
      </c>
      <c r="D226">
        <f>DAY(public_dim_date[[#This Row],[date_key]])</f>
        <v>8</v>
      </c>
      <c r="E226" t="str">
        <f t="shared" si="3"/>
        <v>Q3</v>
      </c>
    </row>
    <row r="227" spans="1:5" x14ac:dyDescent="0.25">
      <c r="A227" s="2">
        <v>45666</v>
      </c>
      <c r="B227">
        <f>YEAR(public_dim_date[[#This Row],[date_key]])</f>
        <v>2025</v>
      </c>
      <c r="C227">
        <f>MONTH(public_dim_date[[#This Row],[date_key]])</f>
        <v>1</v>
      </c>
      <c r="D227">
        <f>DAY(public_dim_date[[#This Row],[date_key]])</f>
        <v>9</v>
      </c>
      <c r="E227" t="str">
        <f t="shared" si="3"/>
        <v>Q3</v>
      </c>
    </row>
    <row r="228" spans="1:5" x14ac:dyDescent="0.25">
      <c r="A228" s="2">
        <v>45667</v>
      </c>
      <c r="B228">
        <f>YEAR(public_dim_date[[#This Row],[date_key]])</f>
        <v>2025</v>
      </c>
      <c r="C228">
        <f>MONTH(public_dim_date[[#This Row],[date_key]])</f>
        <v>1</v>
      </c>
      <c r="D228">
        <f>DAY(public_dim_date[[#This Row],[date_key]])</f>
        <v>10</v>
      </c>
      <c r="E228" t="str">
        <f t="shared" si="3"/>
        <v>Q3</v>
      </c>
    </row>
    <row r="229" spans="1:5" x14ac:dyDescent="0.25">
      <c r="A229" s="2">
        <v>45668</v>
      </c>
      <c r="B229">
        <f>YEAR(public_dim_date[[#This Row],[date_key]])</f>
        <v>2025</v>
      </c>
      <c r="C229">
        <f>MONTH(public_dim_date[[#This Row],[date_key]])</f>
        <v>1</v>
      </c>
      <c r="D229">
        <f>DAY(public_dim_date[[#This Row],[date_key]])</f>
        <v>11</v>
      </c>
      <c r="E229" t="str">
        <f t="shared" si="3"/>
        <v>Q3</v>
      </c>
    </row>
    <row r="230" spans="1:5" x14ac:dyDescent="0.25">
      <c r="A230" s="2">
        <v>45670</v>
      </c>
      <c r="B230">
        <f>YEAR(public_dim_date[[#This Row],[date_key]])</f>
        <v>2025</v>
      </c>
      <c r="C230">
        <f>MONTH(public_dim_date[[#This Row],[date_key]])</f>
        <v>1</v>
      </c>
      <c r="D230">
        <f>DAY(public_dim_date[[#This Row],[date_key]])</f>
        <v>13</v>
      </c>
      <c r="E230" t="str">
        <f t="shared" si="3"/>
        <v>Q3</v>
      </c>
    </row>
    <row r="231" spans="1:5" x14ac:dyDescent="0.25">
      <c r="A231" s="2">
        <v>45671</v>
      </c>
      <c r="B231">
        <f>YEAR(public_dim_date[[#This Row],[date_key]])</f>
        <v>2025</v>
      </c>
      <c r="C231">
        <f>MONTH(public_dim_date[[#This Row],[date_key]])</f>
        <v>1</v>
      </c>
      <c r="D231">
        <f>DAY(public_dim_date[[#This Row],[date_key]])</f>
        <v>14</v>
      </c>
      <c r="E231" t="str">
        <f t="shared" si="3"/>
        <v>Q3</v>
      </c>
    </row>
    <row r="232" spans="1:5" x14ac:dyDescent="0.25">
      <c r="A232" s="2">
        <v>45672</v>
      </c>
      <c r="B232">
        <f>YEAR(public_dim_date[[#This Row],[date_key]])</f>
        <v>2025</v>
      </c>
      <c r="C232">
        <f>MONTH(public_dim_date[[#This Row],[date_key]])</f>
        <v>1</v>
      </c>
      <c r="D232">
        <f>DAY(public_dim_date[[#This Row],[date_key]])</f>
        <v>15</v>
      </c>
      <c r="E232" t="str">
        <f t="shared" si="3"/>
        <v>Q3</v>
      </c>
    </row>
    <row r="233" spans="1:5" x14ac:dyDescent="0.25">
      <c r="A233" s="2">
        <v>45673</v>
      </c>
      <c r="B233">
        <f>YEAR(public_dim_date[[#This Row],[date_key]])</f>
        <v>2025</v>
      </c>
      <c r="C233">
        <f>MONTH(public_dim_date[[#This Row],[date_key]])</f>
        <v>1</v>
      </c>
      <c r="D233">
        <f>DAY(public_dim_date[[#This Row],[date_key]])</f>
        <v>16</v>
      </c>
      <c r="E233" t="str">
        <f t="shared" si="3"/>
        <v>Q3</v>
      </c>
    </row>
    <row r="234" spans="1:5" x14ac:dyDescent="0.25">
      <c r="A234" s="2">
        <v>45674</v>
      </c>
      <c r="B234">
        <f>YEAR(public_dim_date[[#This Row],[date_key]])</f>
        <v>2025</v>
      </c>
      <c r="C234">
        <f>MONTH(public_dim_date[[#This Row],[date_key]])</f>
        <v>1</v>
      </c>
      <c r="D234">
        <f>DAY(public_dim_date[[#This Row],[date_key]])</f>
        <v>17</v>
      </c>
      <c r="E234" t="str">
        <f t="shared" si="3"/>
        <v>Q3</v>
      </c>
    </row>
    <row r="235" spans="1:5" x14ac:dyDescent="0.25">
      <c r="A235" s="2">
        <v>45675</v>
      </c>
      <c r="B235">
        <f>YEAR(public_dim_date[[#This Row],[date_key]])</f>
        <v>2025</v>
      </c>
      <c r="C235">
        <f>MONTH(public_dim_date[[#This Row],[date_key]])</f>
        <v>1</v>
      </c>
      <c r="D235">
        <f>DAY(public_dim_date[[#This Row],[date_key]])</f>
        <v>18</v>
      </c>
      <c r="E235" t="str">
        <f t="shared" si="3"/>
        <v>Q3</v>
      </c>
    </row>
    <row r="236" spans="1:5" x14ac:dyDescent="0.25">
      <c r="A236" s="2">
        <v>45676</v>
      </c>
      <c r="B236">
        <f>YEAR(public_dim_date[[#This Row],[date_key]])</f>
        <v>2025</v>
      </c>
      <c r="C236">
        <f>MONTH(public_dim_date[[#This Row],[date_key]])</f>
        <v>1</v>
      </c>
      <c r="D236">
        <f>DAY(public_dim_date[[#This Row],[date_key]])</f>
        <v>19</v>
      </c>
      <c r="E236" t="str">
        <f t="shared" si="3"/>
        <v>Q3</v>
      </c>
    </row>
    <row r="237" spans="1:5" x14ac:dyDescent="0.25">
      <c r="A237" s="2">
        <v>45678</v>
      </c>
      <c r="B237">
        <f>YEAR(public_dim_date[[#This Row],[date_key]])</f>
        <v>2025</v>
      </c>
      <c r="C237">
        <f>MONTH(public_dim_date[[#This Row],[date_key]])</f>
        <v>1</v>
      </c>
      <c r="D237">
        <f>DAY(public_dim_date[[#This Row],[date_key]])</f>
        <v>21</v>
      </c>
      <c r="E237" t="str">
        <f t="shared" si="3"/>
        <v>Q3</v>
      </c>
    </row>
    <row r="238" spans="1:5" x14ac:dyDescent="0.25">
      <c r="A238" s="2">
        <v>45680</v>
      </c>
      <c r="B238">
        <f>YEAR(public_dim_date[[#This Row],[date_key]])</f>
        <v>2025</v>
      </c>
      <c r="C238">
        <f>MONTH(public_dim_date[[#This Row],[date_key]])</f>
        <v>1</v>
      </c>
      <c r="D238">
        <f>DAY(public_dim_date[[#This Row],[date_key]])</f>
        <v>23</v>
      </c>
      <c r="E238" t="str">
        <f t="shared" si="3"/>
        <v>Q3</v>
      </c>
    </row>
    <row r="239" spans="1:5" x14ac:dyDescent="0.25">
      <c r="A239" s="2">
        <v>45681</v>
      </c>
      <c r="B239">
        <f>YEAR(public_dim_date[[#This Row],[date_key]])</f>
        <v>2025</v>
      </c>
      <c r="C239">
        <f>MONTH(public_dim_date[[#This Row],[date_key]])</f>
        <v>1</v>
      </c>
      <c r="D239">
        <f>DAY(public_dim_date[[#This Row],[date_key]])</f>
        <v>24</v>
      </c>
      <c r="E239" t="str">
        <f t="shared" si="3"/>
        <v>Q3</v>
      </c>
    </row>
    <row r="240" spans="1:5" x14ac:dyDescent="0.25">
      <c r="A240" s="2">
        <v>45682</v>
      </c>
      <c r="B240">
        <f>YEAR(public_dim_date[[#This Row],[date_key]])</f>
        <v>2025</v>
      </c>
      <c r="C240">
        <f>MONTH(public_dim_date[[#This Row],[date_key]])</f>
        <v>1</v>
      </c>
      <c r="D240">
        <f>DAY(public_dim_date[[#This Row],[date_key]])</f>
        <v>25</v>
      </c>
      <c r="E240" t="str">
        <f t="shared" si="3"/>
        <v>Q3</v>
      </c>
    </row>
    <row r="241" spans="1:5" x14ac:dyDescent="0.25">
      <c r="A241" s="2">
        <v>45683</v>
      </c>
      <c r="B241">
        <f>YEAR(public_dim_date[[#This Row],[date_key]])</f>
        <v>2025</v>
      </c>
      <c r="C241">
        <f>MONTH(public_dim_date[[#This Row],[date_key]])</f>
        <v>1</v>
      </c>
      <c r="D241">
        <f>DAY(public_dim_date[[#This Row],[date_key]])</f>
        <v>26</v>
      </c>
      <c r="E241" t="str">
        <f t="shared" si="3"/>
        <v>Q3</v>
      </c>
    </row>
    <row r="242" spans="1:5" x14ac:dyDescent="0.25">
      <c r="A242" s="2">
        <v>45684</v>
      </c>
      <c r="B242">
        <f>YEAR(public_dim_date[[#This Row],[date_key]])</f>
        <v>2025</v>
      </c>
      <c r="C242">
        <f>MONTH(public_dim_date[[#This Row],[date_key]])</f>
        <v>1</v>
      </c>
      <c r="D242">
        <f>DAY(public_dim_date[[#This Row],[date_key]])</f>
        <v>27</v>
      </c>
      <c r="E242" t="str">
        <f t="shared" si="3"/>
        <v>Q3</v>
      </c>
    </row>
    <row r="243" spans="1:5" x14ac:dyDescent="0.25">
      <c r="A243" s="2">
        <v>45685</v>
      </c>
      <c r="B243">
        <f>YEAR(public_dim_date[[#This Row],[date_key]])</f>
        <v>2025</v>
      </c>
      <c r="C243">
        <f>MONTH(public_dim_date[[#This Row],[date_key]])</f>
        <v>1</v>
      </c>
      <c r="D243">
        <f>DAY(public_dim_date[[#This Row],[date_key]])</f>
        <v>28</v>
      </c>
      <c r="E243" t="str">
        <f t="shared" si="3"/>
        <v>Q3</v>
      </c>
    </row>
    <row r="244" spans="1:5" x14ac:dyDescent="0.25">
      <c r="A244" s="2">
        <v>45686</v>
      </c>
      <c r="B244">
        <f>YEAR(public_dim_date[[#This Row],[date_key]])</f>
        <v>2025</v>
      </c>
      <c r="C244">
        <f>MONTH(public_dim_date[[#This Row],[date_key]])</f>
        <v>1</v>
      </c>
      <c r="D244">
        <f>DAY(public_dim_date[[#This Row],[date_key]])</f>
        <v>29</v>
      </c>
      <c r="E244" t="str">
        <f t="shared" si="3"/>
        <v>Q3</v>
      </c>
    </row>
    <row r="245" spans="1:5" x14ac:dyDescent="0.25">
      <c r="A245" s="2">
        <v>45687</v>
      </c>
      <c r="B245">
        <f>YEAR(public_dim_date[[#This Row],[date_key]])</f>
        <v>2025</v>
      </c>
      <c r="C245">
        <f>MONTH(public_dim_date[[#This Row],[date_key]])</f>
        <v>1</v>
      </c>
      <c r="D245">
        <f>DAY(public_dim_date[[#This Row],[date_key]])</f>
        <v>30</v>
      </c>
      <c r="E245" t="str">
        <f t="shared" si="3"/>
        <v>Q3</v>
      </c>
    </row>
    <row r="246" spans="1:5" x14ac:dyDescent="0.25">
      <c r="A246" s="2">
        <v>45688</v>
      </c>
      <c r="B246">
        <f>YEAR(public_dim_date[[#This Row],[date_key]])</f>
        <v>2025</v>
      </c>
      <c r="C246">
        <f>MONTH(public_dim_date[[#This Row],[date_key]])</f>
        <v>1</v>
      </c>
      <c r="D246">
        <f>DAY(public_dim_date[[#This Row],[date_key]])</f>
        <v>31</v>
      </c>
      <c r="E246" t="str">
        <f t="shared" si="3"/>
        <v>Q3</v>
      </c>
    </row>
    <row r="247" spans="1:5" x14ac:dyDescent="0.25">
      <c r="A247" s="2">
        <v>45689</v>
      </c>
      <c r="B247">
        <f>YEAR(public_dim_date[[#This Row],[date_key]])</f>
        <v>2025</v>
      </c>
      <c r="C247">
        <f>MONTH(public_dim_date[[#This Row],[date_key]])</f>
        <v>2</v>
      </c>
      <c r="D247">
        <f>DAY(public_dim_date[[#This Row],[date_key]])</f>
        <v>1</v>
      </c>
      <c r="E247" t="str">
        <f t="shared" si="3"/>
        <v>Q3</v>
      </c>
    </row>
    <row r="248" spans="1:5" x14ac:dyDescent="0.25">
      <c r="A248" s="2">
        <v>45690</v>
      </c>
      <c r="B248">
        <f>YEAR(public_dim_date[[#This Row],[date_key]])</f>
        <v>2025</v>
      </c>
      <c r="C248">
        <f>MONTH(public_dim_date[[#This Row],[date_key]])</f>
        <v>2</v>
      </c>
      <c r="D248">
        <f>DAY(public_dim_date[[#This Row],[date_key]])</f>
        <v>2</v>
      </c>
      <c r="E248" t="str">
        <f t="shared" si="3"/>
        <v>Q3</v>
      </c>
    </row>
    <row r="249" spans="1:5" x14ac:dyDescent="0.25">
      <c r="A249" s="2">
        <v>45691</v>
      </c>
      <c r="B249">
        <f>YEAR(public_dim_date[[#This Row],[date_key]])</f>
        <v>2025</v>
      </c>
      <c r="C249">
        <f>MONTH(public_dim_date[[#This Row],[date_key]])</f>
        <v>2</v>
      </c>
      <c r="D249">
        <f>DAY(public_dim_date[[#This Row],[date_key]])</f>
        <v>3</v>
      </c>
      <c r="E249" t="str">
        <f t="shared" si="3"/>
        <v>Q3</v>
      </c>
    </row>
    <row r="250" spans="1:5" x14ac:dyDescent="0.25">
      <c r="A250" s="2">
        <v>45692</v>
      </c>
      <c r="B250">
        <f>YEAR(public_dim_date[[#This Row],[date_key]])</f>
        <v>2025</v>
      </c>
      <c r="C250">
        <f>MONTH(public_dim_date[[#This Row],[date_key]])</f>
        <v>2</v>
      </c>
      <c r="D250">
        <f>DAY(public_dim_date[[#This Row],[date_key]])</f>
        <v>4</v>
      </c>
      <c r="E250" t="str">
        <f t="shared" si="3"/>
        <v>Q3</v>
      </c>
    </row>
    <row r="251" spans="1:5" x14ac:dyDescent="0.25">
      <c r="A251" s="2">
        <v>45693</v>
      </c>
      <c r="B251">
        <f>YEAR(public_dim_date[[#This Row],[date_key]])</f>
        <v>2025</v>
      </c>
      <c r="C251">
        <f>MONTH(public_dim_date[[#This Row],[date_key]])</f>
        <v>2</v>
      </c>
      <c r="D251">
        <f>DAY(public_dim_date[[#This Row],[date_key]])</f>
        <v>5</v>
      </c>
      <c r="E251" t="str">
        <f t="shared" si="3"/>
        <v>Q3</v>
      </c>
    </row>
    <row r="252" spans="1:5" x14ac:dyDescent="0.25">
      <c r="A252" s="2">
        <v>45694</v>
      </c>
      <c r="B252">
        <f>YEAR(public_dim_date[[#This Row],[date_key]])</f>
        <v>2025</v>
      </c>
      <c r="C252">
        <f>MONTH(public_dim_date[[#This Row],[date_key]])</f>
        <v>2</v>
      </c>
      <c r="D252">
        <f>DAY(public_dim_date[[#This Row],[date_key]])</f>
        <v>6</v>
      </c>
      <c r="E252" t="str">
        <f t="shared" si="3"/>
        <v>Q3</v>
      </c>
    </row>
    <row r="253" spans="1:5" x14ac:dyDescent="0.25">
      <c r="A253" s="2">
        <v>45695</v>
      </c>
      <c r="B253">
        <f>YEAR(public_dim_date[[#This Row],[date_key]])</f>
        <v>2025</v>
      </c>
      <c r="C253">
        <f>MONTH(public_dim_date[[#This Row],[date_key]])</f>
        <v>2</v>
      </c>
      <c r="D253">
        <f>DAY(public_dim_date[[#This Row],[date_key]])</f>
        <v>7</v>
      </c>
      <c r="E253" t="str">
        <f t="shared" si="3"/>
        <v>Q3</v>
      </c>
    </row>
    <row r="254" spans="1:5" x14ac:dyDescent="0.25">
      <c r="A254" s="2">
        <v>45696</v>
      </c>
      <c r="B254">
        <f>YEAR(public_dim_date[[#This Row],[date_key]])</f>
        <v>2025</v>
      </c>
      <c r="C254">
        <f>MONTH(public_dim_date[[#This Row],[date_key]])</f>
        <v>2</v>
      </c>
      <c r="D254">
        <f>DAY(public_dim_date[[#This Row],[date_key]])</f>
        <v>8</v>
      </c>
      <c r="E254" t="str">
        <f t="shared" si="3"/>
        <v>Q3</v>
      </c>
    </row>
    <row r="255" spans="1:5" x14ac:dyDescent="0.25">
      <c r="A255" s="2">
        <v>45697</v>
      </c>
      <c r="B255">
        <f>YEAR(public_dim_date[[#This Row],[date_key]])</f>
        <v>2025</v>
      </c>
      <c r="C255">
        <f>MONTH(public_dim_date[[#This Row],[date_key]])</f>
        <v>2</v>
      </c>
      <c r="D255">
        <f>DAY(public_dim_date[[#This Row],[date_key]])</f>
        <v>9</v>
      </c>
      <c r="E255" t="str">
        <f t="shared" si="3"/>
        <v>Q3</v>
      </c>
    </row>
    <row r="256" spans="1:5" x14ac:dyDescent="0.25">
      <c r="A256" s="2">
        <v>45698</v>
      </c>
      <c r="B256">
        <f>YEAR(public_dim_date[[#This Row],[date_key]])</f>
        <v>2025</v>
      </c>
      <c r="C256">
        <f>MONTH(public_dim_date[[#This Row],[date_key]])</f>
        <v>2</v>
      </c>
      <c r="D256">
        <f>DAY(public_dim_date[[#This Row],[date_key]])</f>
        <v>10</v>
      </c>
      <c r="E256" t="str">
        <f t="shared" si="3"/>
        <v>Q3</v>
      </c>
    </row>
    <row r="257" spans="1:5" x14ac:dyDescent="0.25">
      <c r="A257" s="2">
        <v>45699</v>
      </c>
      <c r="B257">
        <f>YEAR(public_dim_date[[#This Row],[date_key]])</f>
        <v>2025</v>
      </c>
      <c r="C257">
        <f>MONTH(public_dim_date[[#This Row],[date_key]])</f>
        <v>2</v>
      </c>
      <c r="D257">
        <f>DAY(public_dim_date[[#This Row],[date_key]])</f>
        <v>11</v>
      </c>
      <c r="E257" t="str">
        <f t="shared" si="3"/>
        <v>Q3</v>
      </c>
    </row>
    <row r="258" spans="1:5" x14ac:dyDescent="0.25">
      <c r="A258" s="2">
        <v>45700</v>
      </c>
      <c r="B258">
        <f>YEAR(public_dim_date[[#This Row],[date_key]])</f>
        <v>2025</v>
      </c>
      <c r="C258">
        <f>MONTH(public_dim_date[[#This Row],[date_key]])</f>
        <v>2</v>
      </c>
      <c r="D258">
        <f>DAY(public_dim_date[[#This Row],[date_key]])</f>
        <v>12</v>
      </c>
      <c r="E258" t="str">
        <f t="shared" si="3"/>
        <v>Q3</v>
      </c>
    </row>
    <row r="259" spans="1:5" x14ac:dyDescent="0.25">
      <c r="A259" s="2">
        <v>45701</v>
      </c>
      <c r="B259">
        <f>YEAR(public_dim_date[[#This Row],[date_key]])</f>
        <v>2025</v>
      </c>
      <c r="C259">
        <f>MONTH(public_dim_date[[#This Row],[date_key]])</f>
        <v>2</v>
      </c>
      <c r="D259">
        <f>DAY(public_dim_date[[#This Row],[date_key]])</f>
        <v>13</v>
      </c>
      <c r="E259" t="str">
        <f t="shared" ref="E259:E322" si="4">"Q" &amp; ROUNDUP(MONTH(B259)/3, 0)</f>
        <v>Q3</v>
      </c>
    </row>
    <row r="260" spans="1:5" x14ac:dyDescent="0.25">
      <c r="A260" s="2">
        <v>45702</v>
      </c>
      <c r="B260">
        <f>YEAR(public_dim_date[[#This Row],[date_key]])</f>
        <v>2025</v>
      </c>
      <c r="C260">
        <f>MONTH(public_dim_date[[#This Row],[date_key]])</f>
        <v>2</v>
      </c>
      <c r="D260">
        <f>DAY(public_dim_date[[#This Row],[date_key]])</f>
        <v>14</v>
      </c>
      <c r="E260" t="str">
        <f t="shared" si="4"/>
        <v>Q3</v>
      </c>
    </row>
    <row r="261" spans="1:5" x14ac:dyDescent="0.25">
      <c r="A261" s="2">
        <v>45703</v>
      </c>
      <c r="B261">
        <f>YEAR(public_dim_date[[#This Row],[date_key]])</f>
        <v>2025</v>
      </c>
      <c r="C261">
        <f>MONTH(public_dim_date[[#This Row],[date_key]])</f>
        <v>2</v>
      </c>
      <c r="D261">
        <f>DAY(public_dim_date[[#This Row],[date_key]])</f>
        <v>15</v>
      </c>
      <c r="E261" t="str">
        <f t="shared" si="4"/>
        <v>Q3</v>
      </c>
    </row>
    <row r="262" spans="1:5" x14ac:dyDescent="0.25">
      <c r="A262" s="2">
        <v>45704</v>
      </c>
      <c r="B262">
        <f>YEAR(public_dim_date[[#This Row],[date_key]])</f>
        <v>2025</v>
      </c>
      <c r="C262">
        <f>MONTH(public_dim_date[[#This Row],[date_key]])</f>
        <v>2</v>
      </c>
      <c r="D262">
        <f>DAY(public_dim_date[[#This Row],[date_key]])</f>
        <v>16</v>
      </c>
      <c r="E262" t="str">
        <f t="shared" si="4"/>
        <v>Q3</v>
      </c>
    </row>
    <row r="263" spans="1:5" x14ac:dyDescent="0.25">
      <c r="A263" s="2">
        <v>45705</v>
      </c>
      <c r="B263">
        <f>YEAR(public_dim_date[[#This Row],[date_key]])</f>
        <v>2025</v>
      </c>
      <c r="C263">
        <f>MONTH(public_dim_date[[#This Row],[date_key]])</f>
        <v>2</v>
      </c>
      <c r="D263">
        <f>DAY(public_dim_date[[#This Row],[date_key]])</f>
        <v>17</v>
      </c>
      <c r="E263" t="str">
        <f t="shared" si="4"/>
        <v>Q3</v>
      </c>
    </row>
    <row r="264" spans="1:5" x14ac:dyDescent="0.25">
      <c r="A264" s="2">
        <v>45707</v>
      </c>
      <c r="B264">
        <f>YEAR(public_dim_date[[#This Row],[date_key]])</f>
        <v>2025</v>
      </c>
      <c r="C264">
        <f>MONTH(public_dim_date[[#This Row],[date_key]])</f>
        <v>2</v>
      </c>
      <c r="D264">
        <f>DAY(public_dim_date[[#This Row],[date_key]])</f>
        <v>19</v>
      </c>
      <c r="E264" t="str">
        <f t="shared" si="4"/>
        <v>Q3</v>
      </c>
    </row>
    <row r="265" spans="1:5" x14ac:dyDescent="0.25">
      <c r="A265" s="2">
        <v>45708</v>
      </c>
      <c r="B265">
        <f>YEAR(public_dim_date[[#This Row],[date_key]])</f>
        <v>2025</v>
      </c>
      <c r="C265">
        <f>MONTH(public_dim_date[[#This Row],[date_key]])</f>
        <v>2</v>
      </c>
      <c r="D265">
        <f>DAY(public_dim_date[[#This Row],[date_key]])</f>
        <v>20</v>
      </c>
      <c r="E265" t="str">
        <f t="shared" si="4"/>
        <v>Q3</v>
      </c>
    </row>
    <row r="266" spans="1:5" x14ac:dyDescent="0.25">
      <c r="A266" s="2">
        <v>45709</v>
      </c>
      <c r="B266">
        <f>YEAR(public_dim_date[[#This Row],[date_key]])</f>
        <v>2025</v>
      </c>
      <c r="C266">
        <f>MONTH(public_dim_date[[#This Row],[date_key]])</f>
        <v>2</v>
      </c>
      <c r="D266">
        <f>DAY(public_dim_date[[#This Row],[date_key]])</f>
        <v>21</v>
      </c>
      <c r="E266" t="str">
        <f t="shared" si="4"/>
        <v>Q3</v>
      </c>
    </row>
    <row r="267" spans="1:5" x14ac:dyDescent="0.25">
      <c r="A267" s="2">
        <v>45710</v>
      </c>
      <c r="B267">
        <f>YEAR(public_dim_date[[#This Row],[date_key]])</f>
        <v>2025</v>
      </c>
      <c r="C267">
        <f>MONTH(public_dim_date[[#This Row],[date_key]])</f>
        <v>2</v>
      </c>
      <c r="D267">
        <f>DAY(public_dim_date[[#This Row],[date_key]])</f>
        <v>22</v>
      </c>
      <c r="E267" t="str">
        <f t="shared" si="4"/>
        <v>Q3</v>
      </c>
    </row>
    <row r="268" spans="1:5" x14ac:dyDescent="0.25">
      <c r="A268" s="2">
        <v>45711</v>
      </c>
      <c r="B268">
        <f>YEAR(public_dim_date[[#This Row],[date_key]])</f>
        <v>2025</v>
      </c>
      <c r="C268">
        <f>MONTH(public_dim_date[[#This Row],[date_key]])</f>
        <v>2</v>
      </c>
      <c r="D268">
        <f>DAY(public_dim_date[[#This Row],[date_key]])</f>
        <v>23</v>
      </c>
      <c r="E268" t="str">
        <f t="shared" si="4"/>
        <v>Q3</v>
      </c>
    </row>
    <row r="269" spans="1:5" x14ac:dyDescent="0.25">
      <c r="A269" s="2">
        <v>45712</v>
      </c>
      <c r="B269">
        <f>YEAR(public_dim_date[[#This Row],[date_key]])</f>
        <v>2025</v>
      </c>
      <c r="C269">
        <f>MONTH(public_dim_date[[#This Row],[date_key]])</f>
        <v>2</v>
      </c>
      <c r="D269">
        <f>DAY(public_dim_date[[#This Row],[date_key]])</f>
        <v>24</v>
      </c>
      <c r="E269" t="str">
        <f t="shared" si="4"/>
        <v>Q3</v>
      </c>
    </row>
    <row r="270" spans="1:5" x14ac:dyDescent="0.25">
      <c r="A270" s="2">
        <v>45713</v>
      </c>
      <c r="B270">
        <f>YEAR(public_dim_date[[#This Row],[date_key]])</f>
        <v>2025</v>
      </c>
      <c r="C270">
        <f>MONTH(public_dim_date[[#This Row],[date_key]])</f>
        <v>2</v>
      </c>
      <c r="D270">
        <f>DAY(public_dim_date[[#This Row],[date_key]])</f>
        <v>25</v>
      </c>
      <c r="E270" t="str">
        <f t="shared" si="4"/>
        <v>Q3</v>
      </c>
    </row>
    <row r="271" spans="1:5" x14ac:dyDescent="0.25">
      <c r="A271" s="2">
        <v>45714</v>
      </c>
      <c r="B271">
        <f>YEAR(public_dim_date[[#This Row],[date_key]])</f>
        <v>2025</v>
      </c>
      <c r="C271">
        <f>MONTH(public_dim_date[[#This Row],[date_key]])</f>
        <v>2</v>
      </c>
      <c r="D271">
        <f>DAY(public_dim_date[[#This Row],[date_key]])</f>
        <v>26</v>
      </c>
      <c r="E271" t="str">
        <f t="shared" si="4"/>
        <v>Q3</v>
      </c>
    </row>
    <row r="272" spans="1:5" x14ac:dyDescent="0.25">
      <c r="A272" s="2">
        <v>45715</v>
      </c>
      <c r="B272">
        <f>YEAR(public_dim_date[[#This Row],[date_key]])</f>
        <v>2025</v>
      </c>
      <c r="C272">
        <f>MONTH(public_dim_date[[#This Row],[date_key]])</f>
        <v>2</v>
      </c>
      <c r="D272">
        <f>DAY(public_dim_date[[#This Row],[date_key]])</f>
        <v>27</v>
      </c>
      <c r="E272" t="str">
        <f t="shared" si="4"/>
        <v>Q3</v>
      </c>
    </row>
    <row r="273" spans="1:5" x14ac:dyDescent="0.25">
      <c r="A273" s="2">
        <v>45716</v>
      </c>
      <c r="B273">
        <f>YEAR(public_dim_date[[#This Row],[date_key]])</f>
        <v>2025</v>
      </c>
      <c r="C273">
        <f>MONTH(public_dim_date[[#This Row],[date_key]])</f>
        <v>2</v>
      </c>
      <c r="D273">
        <f>DAY(public_dim_date[[#This Row],[date_key]])</f>
        <v>28</v>
      </c>
      <c r="E273" t="str">
        <f t="shared" si="4"/>
        <v>Q3</v>
      </c>
    </row>
    <row r="274" spans="1:5" x14ac:dyDescent="0.25">
      <c r="A274" s="2">
        <v>45717</v>
      </c>
      <c r="B274">
        <f>YEAR(public_dim_date[[#This Row],[date_key]])</f>
        <v>2025</v>
      </c>
      <c r="C274">
        <f>MONTH(public_dim_date[[#This Row],[date_key]])</f>
        <v>3</v>
      </c>
      <c r="D274">
        <f>DAY(public_dim_date[[#This Row],[date_key]])</f>
        <v>1</v>
      </c>
      <c r="E274" t="str">
        <f t="shared" si="4"/>
        <v>Q3</v>
      </c>
    </row>
    <row r="275" spans="1:5" x14ac:dyDescent="0.25">
      <c r="A275" s="2">
        <v>45718</v>
      </c>
      <c r="B275">
        <f>YEAR(public_dim_date[[#This Row],[date_key]])</f>
        <v>2025</v>
      </c>
      <c r="C275">
        <f>MONTH(public_dim_date[[#This Row],[date_key]])</f>
        <v>3</v>
      </c>
      <c r="D275">
        <f>DAY(public_dim_date[[#This Row],[date_key]])</f>
        <v>2</v>
      </c>
      <c r="E275" t="str">
        <f t="shared" si="4"/>
        <v>Q3</v>
      </c>
    </row>
    <row r="276" spans="1:5" x14ac:dyDescent="0.25">
      <c r="A276" s="2">
        <v>45719</v>
      </c>
      <c r="B276">
        <f>YEAR(public_dim_date[[#This Row],[date_key]])</f>
        <v>2025</v>
      </c>
      <c r="C276">
        <f>MONTH(public_dim_date[[#This Row],[date_key]])</f>
        <v>3</v>
      </c>
      <c r="D276">
        <f>DAY(public_dim_date[[#This Row],[date_key]])</f>
        <v>3</v>
      </c>
      <c r="E276" t="str">
        <f t="shared" si="4"/>
        <v>Q3</v>
      </c>
    </row>
    <row r="277" spans="1:5" x14ac:dyDescent="0.25">
      <c r="A277" s="2">
        <v>45720</v>
      </c>
      <c r="B277">
        <f>YEAR(public_dim_date[[#This Row],[date_key]])</f>
        <v>2025</v>
      </c>
      <c r="C277">
        <f>MONTH(public_dim_date[[#This Row],[date_key]])</f>
        <v>3</v>
      </c>
      <c r="D277">
        <f>DAY(public_dim_date[[#This Row],[date_key]])</f>
        <v>4</v>
      </c>
      <c r="E277" t="str">
        <f t="shared" si="4"/>
        <v>Q3</v>
      </c>
    </row>
    <row r="278" spans="1:5" x14ac:dyDescent="0.25">
      <c r="A278" s="2">
        <v>45722</v>
      </c>
      <c r="B278">
        <f>YEAR(public_dim_date[[#This Row],[date_key]])</f>
        <v>2025</v>
      </c>
      <c r="C278">
        <f>MONTH(public_dim_date[[#This Row],[date_key]])</f>
        <v>3</v>
      </c>
      <c r="D278">
        <f>DAY(public_dim_date[[#This Row],[date_key]])</f>
        <v>6</v>
      </c>
      <c r="E278" t="str">
        <f t="shared" si="4"/>
        <v>Q3</v>
      </c>
    </row>
    <row r="279" spans="1:5" x14ac:dyDescent="0.25">
      <c r="A279" s="2">
        <v>45723</v>
      </c>
      <c r="B279">
        <f>YEAR(public_dim_date[[#This Row],[date_key]])</f>
        <v>2025</v>
      </c>
      <c r="C279">
        <f>MONTH(public_dim_date[[#This Row],[date_key]])</f>
        <v>3</v>
      </c>
      <c r="D279">
        <f>DAY(public_dim_date[[#This Row],[date_key]])</f>
        <v>7</v>
      </c>
      <c r="E279" t="str">
        <f t="shared" si="4"/>
        <v>Q3</v>
      </c>
    </row>
    <row r="280" spans="1:5" x14ac:dyDescent="0.25">
      <c r="A280" s="2">
        <v>45724</v>
      </c>
      <c r="B280">
        <f>YEAR(public_dim_date[[#This Row],[date_key]])</f>
        <v>2025</v>
      </c>
      <c r="C280">
        <f>MONTH(public_dim_date[[#This Row],[date_key]])</f>
        <v>3</v>
      </c>
      <c r="D280">
        <f>DAY(public_dim_date[[#This Row],[date_key]])</f>
        <v>8</v>
      </c>
      <c r="E280" t="str">
        <f t="shared" si="4"/>
        <v>Q3</v>
      </c>
    </row>
    <row r="281" spans="1:5" x14ac:dyDescent="0.25">
      <c r="A281" s="2">
        <v>45725</v>
      </c>
      <c r="B281">
        <f>YEAR(public_dim_date[[#This Row],[date_key]])</f>
        <v>2025</v>
      </c>
      <c r="C281">
        <f>MONTH(public_dim_date[[#This Row],[date_key]])</f>
        <v>3</v>
      </c>
      <c r="D281">
        <f>DAY(public_dim_date[[#This Row],[date_key]])</f>
        <v>9</v>
      </c>
      <c r="E281" t="str">
        <f t="shared" si="4"/>
        <v>Q3</v>
      </c>
    </row>
    <row r="282" spans="1:5" x14ac:dyDescent="0.25">
      <c r="A282" s="2">
        <v>45726</v>
      </c>
      <c r="B282">
        <f>YEAR(public_dim_date[[#This Row],[date_key]])</f>
        <v>2025</v>
      </c>
      <c r="C282">
        <f>MONTH(public_dim_date[[#This Row],[date_key]])</f>
        <v>3</v>
      </c>
      <c r="D282">
        <f>DAY(public_dim_date[[#This Row],[date_key]])</f>
        <v>10</v>
      </c>
      <c r="E282" t="str">
        <f t="shared" si="4"/>
        <v>Q3</v>
      </c>
    </row>
    <row r="283" spans="1:5" x14ac:dyDescent="0.25">
      <c r="A283" s="2">
        <v>45727</v>
      </c>
      <c r="B283">
        <f>YEAR(public_dim_date[[#This Row],[date_key]])</f>
        <v>2025</v>
      </c>
      <c r="C283">
        <f>MONTH(public_dim_date[[#This Row],[date_key]])</f>
        <v>3</v>
      </c>
      <c r="D283">
        <f>DAY(public_dim_date[[#This Row],[date_key]])</f>
        <v>11</v>
      </c>
      <c r="E283" t="str">
        <f t="shared" si="4"/>
        <v>Q3</v>
      </c>
    </row>
    <row r="284" spans="1:5" x14ac:dyDescent="0.25">
      <c r="A284" s="2">
        <v>45728</v>
      </c>
      <c r="B284">
        <f>YEAR(public_dim_date[[#This Row],[date_key]])</f>
        <v>2025</v>
      </c>
      <c r="C284">
        <f>MONTH(public_dim_date[[#This Row],[date_key]])</f>
        <v>3</v>
      </c>
      <c r="D284">
        <f>DAY(public_dim_date[[#This Row],[date_key]])</f>
        <v>12</v>
      </c>
      <c r="E284" t="str">
        <f t="shared" si="4"/>
        <v>Q3</v>
      </c>
    </row>
    <row r="285" spans="1:5" x14ac:dyDescent="0.25">
      <c r="A285" s="2">
        <v>45729</v>
      </c>
      <c r="B285">
        <f>YEAR(public_dim_date[[#This Row],[date_key]])</f>
        <v>2025</v>
      </c>
      <c r="C285">
        <f>MONTH(public_dim_date[[#This Row],[date_key]])</f>
        <v>3</v>
      </c>
      <c r="D285">
        <f>DAY(public_dim_date[[#This Row],[date_key]])</f>
        <v>13</v>
      </c>
      <c r="E285" t="str">
        <f t="shared" si="4"/>
        <v>Q3</v>
      </c>
    </row>
    <row r="286" spans="1:5" x14ac:dyDescent="0.25">
      <c r="A286" s="2">
        <v>45730</v>
      </c>
      <c r="B286">
        <f>YEAR(public_dim_date[[#This Row],[date_key]])</f>
        <v>2025</v>
      </c>
      <c r="C286">
        <f>MONTH(public_dim_date[[#This Row],[date_key]])</f>
        <v>3</v>
      </c>
      <c r="D286">
        <f>DAY(public_dim_date[[#This Row],[date_key]])</f>
        <v>14</v>
      </c>
      <c r="E286" t="str">
        <f t="shared" si="4"/>
        <v>Q3</v>
      </c>
    </row>
    <row r="287" spans="1:5" x14ac:dyDescent="0.25">
      <c r="A287" s="2">
        <v>45732</v>
      </c>
      <c r="B287">
        <f>YEAR(public_dim_date[[#This Row],[date_key]])</f>
        <v>2025</v>
      </c>
      <c r="C287">
        <f>MONTH(public_dim_date[[#This Row],[date_key]])</f>
        <v>3</v>
      </c>
      <c r="D287">
        <f>DAY(public_dim_date[[#This Row],[date_key]])</f>
        <v>16</v>
      </c>
      <c r="E287" t="str">
        <f t="shared" si="4"/>
        <v>Q3</v>
      </c>
    </row>
    <row r="288" spans="1:5" x14ac:dyDescent="0.25">
      <c r="A288" s="2">
        <v>45733</v>
      </c>
      <c r="B288">
        <f>YEAR(public_dim_date[[#This Row],[date_key]])</f>
        <v>2025</v>
      </c>
      <c r="C288">
        <f>MONTH(public_dim_date[[#This Row],[date_key]])</f>
        <v>3</v>
      </c>
      <c r="D288">
        <f>DAY(public_dim_date[[#This Row],[date_key]])</f>
        <v>17</v>
      </c>
      <c r="E288" t="str">
        <f t="shared" si="4"/>
        <v>Q3</v>
      </c>
    </row>
    <row r="289" spans="1:5" x14ac:dyDescent="0.25">
      <c r="A289" s="2">
        <v>45734</v>
      </c>
      <c r="B289">
        <f>YEAR(public_dim_date[[#This Row],[date_key]])</f>
        <v>2025</v>
      </c>
      <c r="C289">
        <f>MONTH(public_dim_date[[#This Row],[date_key]])</f>
        <v>3</v>
      </c>
      <c r="D289">
        <f>DAY(public_dim_date[[#This Row],[date_key]])</f>
        <v>18</v>
      </c>
      <c r="E289" t="str">
        <f t="shared" si="4"/>
        <v>Q3</v>
      </c>
    </row>
    <row r="290" spans="1:5" x14ac:dyDescent="0.25">
      <c r="A290" s="2">
        <v>45735</v>
      </c>
      <c r="B290">
        <f>YEAR(public_dim_date[[#This Row],[date_key]])</f>
        <v>2025</v>
      </c>
      <c r="C290">
        <f>MONTH(public_dim_date[[#This Row],[date_key]])</f>
        <v>3</v>
      </c>
      <c r="D290">
        <f>DAY(public_dim_date[[#This Row],[date_key]])</f>
        <v>19</v>
      </c>
      <c r="E290" t="str">
        <f t="shared" si="4"/>
        <v>Q3</v>
      </c>
    </row>
    <row r="291" spans="1:5" x14ac:dyDescent="0.25">
      <c r="A291" s="2">
        <v>45736</v>
      </c>
      <c r="B291">
        <f>YEAR(public_dim_date[[#This Row],[date_key]])</f>
        <v>2025</v>
      </c>
      <c r="C291">
        <f>MONTH(public_dim_date[[#This Row],[date_key]])</f>
        <v>3</v>
      </c>
      <c r="D291">
        <f>DAY(public_dim_date[[#This Row],[date_key]])</f>
        <v>20</v>
      </c>
      <c r="E291" t="str">
        <f t="shared" si="4"/>
        <v>Q3</v>
      </c>
    </row>
    <row r="292" spans="1:5" x14ac:dyDescent="0.25">
      <c r="A292" s="2">
        <v>45737</v>
      </c>
      <c r="B292">
        <f>YEAR(public_dim_date[[#This Row],[date_key]])</f>
        <v>2025</v>
      </c>
      <c r="C292">
        <f>MONTH(public_dim_date[[#This Row],[date_key]])</f>
        <v>3</v>
      </c>
      <c r="D292">
        <f>DAY(public_dim_date[[#This Row],[date_key]])</f>
        <v>21</v>
      </c>
      <c r="E292" t="str">
        <f t="shared" si="4"/>
        <v>Q3</v>
      </c>
    </row>
    <row r="293" spans="1:5" x14ac:dyDescent="0.25">
      <c r="A293" s="2">
        <v>45738</v>
      </c>
      <c r="B293">
        <f>YEAR(public_dim_date[[#This Row],[date_key]])</f>
        <v>2025</v>
      </c>
      <c r="C293">
        <f>MONTH(public_dim_date[[#This Row],[date_key]])</f>
        <v>3</v>
      </c>
      <c r="D293">
        <f>DAY(public_dim_date[[#This Row],[date_key]])</f>
        <v>22</v>
      </c>
      <c r="E293" t="str">
        <f t="shared" si="4"/>
        <v>Q3</v>
      </c>
    </row>
    <row r="294" spans="1:5" x14ac:dyDescent="0.25">
      <c r="A294" s="2">
        <v>45740</v>
      </c>
      <c r="B294">
        <f>YEAR(public_dim_date[[#This Row],[date_key]])</f>
        <v>2025</v>
      </c>
      <c r="C294">
        <f>MONTH(public_dim_date[[#This Row],[date_key]])</f>
        <v>3</v>
      </c>
      <c r="D294">
        <f>DAY(public_dim_date[[#This Row],[date_key]])</f>
        <v>24</v>
      </c>
      <c r="E294" t="str">
        <f t="shared" si="4"/>
        <v>Q3</v>
      </c>
    </row>
    <row r="295" spans="1:5" x14ac:dyDescent="0.25">
      <c r="A295" s="2">
        <v>45741</v>
      </c>
      <c r="B295">
        <f>YEAR(public_dim_date[[#This Row],[date_key]])</f>
        <v>2025</v>
      </c>
      <c r="C295">
        <f>MONTH(public_dim_date[[#This Row],[date_key]])</f>
        <v>3</v>
      </c>
      <c r="D295">
        <f>DAY(public_dim_date[[#This Row],[date_key]])</f>
        <v>25</v>
      </c>
      <c r="E295" t="str">
        <f t="shared" si="4"/>
        <v>Q3</v>
      </c>
    </row>
    <row r="296" spans="1:5" x14ac:dyDescent="0.25">
      <c r="A296" s="2">
        <v>45742</v>
      </c>
      <c r="B296">
        <f>YEAR(public_dim_date[[#This Row],[date_key]])</f>
        <v>2025</v>
      </c>
      <c r="C296">
        <f>MONTH(public_dim_date[[#This Row],[date_key]])</f>
        <v>3</v>
      </c>
      <c r="D296">
        <f>DAY(public_dim_date[[#This Row],[date_key]])</f>
        <v>26</v>
      </c>
      <c r="E296" t="str">
        <f t="shared" si="4"/>
        <v>Q3</v>
      </c>
    </row>
    <row r="297" spans="1:5" x14ac:dyDescent="0.25">
      <c r="A297" s="2">
        <v>45743</v>
      </c>
      <c r="B297">
        <f>YEAR(public_dim_date[[#This Row],[date_key]])</f>
        <v>2025</v>
      </c>
      <c r="C297">
        <f>MONTH(public_dim_date[[#This Row],[date_key]])</f>
        <v>3</v>
      </c>
      <c r="D297">
        <f>DAY(public_dim_date[[#This Row],[date_key]])</f>
        <v>27</v>
      </c>
      <c r="E297" t="str">
        <f t="shared" si="4"/>
        <v>Q3</v>
      </c>
    </row>
    <row r="298" spans="1:5" x14ac:dyDescent="0.25">
      <c r="A298" s="2">
        <v>45744</v>
      </c>
      <c r="B298">
        <f>YEAR(public_dim_date[[#This Row],[date_key]])</f>
        <v>2025</v>
      </c>
      <c r="C298">
        <f>MONTH(public_dim_date[[#This Row],[date_key]])</f>
        <v>3</v>
      </c>
      <c r="D298">
        <f>DAY(public_dim_date[[#This Row],[date_key]])</f>
        <v>28</v>
      </c>
      <c r="E298" t="str">
        <f t="shared" si="4"/>
        <v>Q3</v>
      </c>
    </row>
    <row r="299" spans="1:5" x14ac:dyDescent="0.25">
      <c r="A299" s="2">
        <v>45746</v>
      </c>
      <c r="B299">
        <f>YEAR(public_dim_date[[#This Row],[date_key]])</f>
        <v>2025</v>
      </c>
      <c r="C299">
        <f>MONTH(public_dim_date[[#This Row],[date_key]])</f>
        <v>3</v>
      </c>
      <c r="D299">
        <f>DAY(public_dim_date[[#This Row],[date_key]])</f>
        <v>30</v>
      </c>
      <c r="E299" t="str">
        <f t="shared" si="4"/>
        <v>Q3</v>
      </c>
    </row>
    <row r="300" spans="1:5" x14ac:dyDescent="0.25">
      <c r="A300" s="2">
        <v>45747</v>
      </c>
      <c r="B300">
        <f>YEAR(public_dim_date[[#This Row],[date_key]])</f>
        <v>2025</v>
      </c>
      <c r="C300">
        <f>MONTH(public_dim_date[[#This Row],[date_key]])</f>
        <v>3</v>
      </c>
      <c r="D300">
        <f>DAY(public_dim_date[[#This Row],[date_key]])</f>
        <v>31</v>
      </c>
      <c r="E300" t="str">
        <f t="shared" si="4"/>
        <v>Q3</v>
      </c>
    </row>
    <row r="301" spans="1:5" x14ac:dyDescent="0.25">
      <c r="A301" s="2">
        <v>45748</v>
      </c>
      <c r="B301">
        <f>YEAR(public_dim_date[[#This Row],[date_key]])</f>
        <v>2025</v>
      </c>
      <c r="C301">
        <f>MONTH(public_dim_date[[#This Row],[date_key]])</f>
        <v>4</v>
      </c>
      <c r="D301">
        <f>DAY(public_dim_date[[#This Row],[date_key]])</f>
        <v>1</v>
      </c>
      <c r="E301" t="str">
        <f t="shared" si="4"/>
        <v>Q3</v>
      </c>
    </row>
    <row r="302" spans="1:5" x14ac:dyDescent="0.25">
      <c r="A302" s="2">
        <v>45749</v>
      </c>
      <c r="B302">
        <f>YEAR(public_dim_date[[#This Row],[date_key]])</f>
        <v>2025</v>
      </c>
      <c r="C302">
        <f>MONTH(public_dim_date[[#This Row],[date_key]])</f>
        <v>4</v>
      </c>
      <c r="D302">
        <f>DAY(public_dim_date[[#This Row],[date_key]])</f>
        <v>2</v>
      </c>
      <c r="E302" t="str">
        <f t="shared" si="4"/>
        <v>Q3</v>
      </c>
    </row>
    <row r="303" spans="1:5" x14ac:dyDescent="0.25">
      <c r="A303" s="2">
        <v>45750</v>
      </c>
      <c r="B303">
        <f>YEAR(public_dim_date[[#This Row],[date_key]])</f>
        <v>2025</v>
      </c>
      <c r="C303">
        <f>MONTH(public_dim_date[[#This Row],[date_key]])</f>
        <v>4</v>
      </c>
      <c r="D303">
        <f>DAY(public_dim_date[[#This Row],[date_key]])</f>
        <v>3</v>
      </c>
      <c r="E303" t="str">
        <f t="shared" si="4"/>
        <v>Q3</v>
      </c>
    </row>
    <row r="304" spans="1:5" x14ac:dyDescent="0.25">
      <c r="A304" s="2">
        <v>45751</v>
      </c>
      <c r="B304">
        <f>YEAR(public_dim_date[[#This Row],[date_key]])</f>
        <v>2025</v>
      </c>
      <c r="C304">
        <f>MONTH(public_dim_date[[#This Row],[date_key]])</f>
        <v>4</v>
      </c>
      <c r="D304">
        <f>DAY(public_dim_date[[#This Row],[date_key]])</f>
        <v>4</v>
      </c>
      <c r="E304" t="str">
        <f t="shared" si="4"/>
        <v>Q3</v>
      </c>
    </row>
    <row r="305" spans="1:5" x14ac:dyDescent="0.25">
      <c r="A305" s="2">
        <v>45752</v>
      </c>
      <c r="B305">
        <f>YEAR(public_dim_date[[#This Row],[date_key]])</f>
        <v>2025</v>
      </c>
      <c r="C305">
        <f>MONTH(public_dim_date[[#This Row],[date_key]])</f>
        <v>4</v>
      </c>
      <c r="D305">
        <f>DAY(public_dim_date[[#This Row],[date_key]])</f>
        <v>5</v>
      </c>
      <c r="E305" t="str">
        <f t="shared" si="4"/>
        <v>Q3</v>
      </c>
    </row>
    <row r="306" spans="1:5" x14ac:dyDescent="0.25">
      <c r="A306" s="2">
        <v>45753</v>
      </c>
      <c r="B306">
        <f>YEAR(public_dim_date[[#This Row],[date_key]])</f>
        <v>2025</v>
      </c>
      <c r="C306">
        <f>MONTH(public_dim_date[[#This Row],[date_key]])</f>
        <v>4</v>
      </c>
      <c r="D306">
        <f>DAY(public_dim_date[[#This Row],[date_key]])</f>
        <v>6</v>
      </c>
      <c r="E306" t="str">
        <f t="shared" si="4"/>
        <v>Q3</v>
      </c>
    </row>
    <row r="307" spans="1:5" x14ac:dyDescent="0.25">
      <c r="A307" s="2">
        <v>45755</v>
      </c>
      <c r="B307">
        <f>YEAR(public_dim_date[[#This Row],[date_key]])</f>
        <v>2025</v>
      </c>
      <c r="C307">
        <f>MONTH(public_dim_date[[#This Row],[date_key]])</f>
        <v>4</v>
      </c>
      <c r="D307">
        <f>DAY(public_dim_date[[#This Row],[date_key]])</f>
        <v>8</v>
      </c>
      <c r="E307" t="str">
        <f t="shared" si="4"/>
        <v>Q3</v>
      </c>
    </row>
    <row r="308" spans="1:5" x14ac:dyDescent="0.25">
      <c r="A308" s="2">
        <v>45756</v>
      </c>
      <c r="B308">
        <f>YEAR(public_dim_date[[#This Row],[date_key]])</f>
        <v>2025</v>
      </c>
      <c r="C308">
        <f>MONTH(public_dim_date[[#This Row],[date_key]])</f>
        <v>4</v>
      </c>
      <c r="D308">
        <f>DAY(public_dim_date[[#This Row],[date_key]])</f>
        <v>9</v>
      </c>
      <c r="E308" t="str">
        <f t="shared" si="4"/>
        <v>Q3</v>
      </c>
    </row>
    <row r="309" spans="1:5" x14ac:dyDescent="0.25">
      <c r="A309" s="2">
        <v>45757</v>
      </c>
      <c r="B309">
        <f>YEAR(public_dim_date[[#This Row],[date_key]])</f>
        <v>2025</v>
      </c>
      <c r="C309">
        <f>MONTH(public_dim_date[[#This Row],[date_key]])</f>
        <v>4</v>
      </c>
      <c r="D309">
        <f>DAY(public_dim_date[[#This Row],[date_key]])</f>
        <v>10</v>
      </c>
      <c r="E309" t="str">
        <f t="shared" si="4"/>
        <v>Q3</v>
      </c>
    </row>
    <row r="310" spans="1:5" x14ac:dyDescent="0.25">
      <c r="A310" s="2">
        <v>45759</v>
      </c>
      <c r="B310">
        <f>YEAR(public_dim_date[[#This Row],[date_key]])</f>
        <v>2025</v>
      </c>
      <c r="C310">
        <f>MONTH(public_dim_date[[#This Row],[date_key]])</f>
        <v>4</v>
      </c>
      <c r="D310">
        <f>DAY(public_dim_date[[#This Row],[date_key]])</f>
        <v>12</v>
      </c>
      <c r="E310" t="str">
        <f t="shared" si="4"/>
        <v>Q3</v>
      </c>
    </row>
    <row r="311" spans="1:5" x14ac:dyDescent="0.25">
      <c r="A311" s="2">
        <v>45760</v>
      </c>
      <c r="B311">
        <f>YEAR(public_dim_date[[#This Row],[date_key]])</f>
        <v>2025</v>
      </c>
      <c r="C311">
        <f>MONTH(public_dim_date[[#This Row],[date_key]])</f>
        <v>4</v>
      </c>
      <c r="D311">
        <f>DAY(public_dim_date[[#This Row],[date_key]])</f>
        <v>13</v>
      </c>
      <c r="E311" t="str">
        <f t="shared" si="4"/>
        <v>Q3</v>
      </c>
    </row>
    <row r="312" spans="1:5" x14ac:dyDescent="0.25">
      <c r="A312" s="2">
        <v>45761</v>
      </c>
      <c r="B312">
        <f>YEAR(public_dim_date[[#This Row],[date_key]])</f>
        <v>2025</v>
      </c>
      <c r="C312">
        <f>MONTH(public_dim_date[[#This Row],[date_key]])</f>
        <v>4</v>
      </c>
      <c r="D312">
        <f>DAY(public_dim_date[[#This Row],[date_key]])</f>
        <v>14</v>
      </c>
      <c r="E312" t="str">
        <f t="shared" si="4"/>
        <v>Q3</v>
      </c>
    </row>
    <row r="313" spans="1:5" x14ac:dyDescent="0.25">
      <c r="A313" s="2">
        <v>45762</v>
      </c>
      <c r="B313">
        <f>YEAR(public_dim_date[[#This Row],[date_key]])</f>
        <v>2025</v>
      </c>
      <c r="C313">
        <f>MONTH(public_dim_date[[#This Row],[date_key]])</f>
        <v>4</v>
      </c>
      <c r="D313">
        <f>DAY(public_dim_date[[#This Row],[date_key]])</f>
        <v>15</v>
      </c>
      <c r="E313" t="str">
        <f t="shared" si="4"/>
        <v>Q3</v>
      </c>
    </row>
    <row r="314" spans="1:5" x14ac:dyDescent="0.25">
      <c r="A314" s="2">
        <v>45763</v>
      </c>
      <c r="B314">
        <f>YEAR(public_dim_date[[#This Row],[date_key]])</f>
        <v>2025</v>
      </c>
      <c r="C314">
        <f>MONTH(public_dim_date[[#This Row],[date_key]])</f>
        <v>4</v>
      </c>
      <c r="D314">
        <f>DAY(public_dim_date[[#This Row],[date_key]])</f>
        <v>16</v>
      </c>
      <c r="E314" t="str">
        <f t="shared" si="4"/>
        <v>Q3</v>
      </c>
    </row>
    <row r="315" spans="1:5" x14ac:dyDescent="0.25">
      <c r="A315" s="2">
        <v>45764</v>
      </c>
      <c r="B315">
        <f>YEAR(public_dim_date[[#This Row],[date_key]])</f>
        <v>2025</v>
      </c>
      <c r="C315">
        <f>MONTH(public_dim_date[[#This Row],[date_key]])</f>
        <v>4</v>
      </c>
      <c r="D315">
        <f>DAY(public_dim_date[[#This Row],[date_key]])</f>
        <v>17</v>
      </c>
      <c r="E315" t="str">
        <f t="shared" si="4"/>
        <v>Q3</v>
      </c>
    </row>
    <row r="316" spans="1:5" x14ac:dyDescent="0.25">
      <c r="A316" s="2">
        <v>45765</v>
      </c>
      <c r="B316">
        <f>YEAR(public_dim_date[[#This Row],[date_key]])</f>
        <v>2025</v>
      </c>
      <c r="C316">
        <f>MONTH(public_dim_date[[#This Row],[date_key]])</f>
        <v>4</v>
      </c>
      <c r="D316">
        <f>DAY(public_dim_date[[#This Row],[date_key]])</f>
        <v>18</v>
      </c>
      <c r="E316" t="str">
        <f t="shared" si="4"/>
        <v>Q3</v>
      </c>
    </row>
    <row r="317" spans="1:5" x14ac:dyDescent="0.25">
      <c r="A317" s="2">
        <v>45766</v>
      </c>
      <c r="B317">
        <f>YEAR(public_dim_date[[#This Row],[date_key]])</f>
        <v>2025</v>
      </c>
      <c r="C317">
        <f>MONTH(public_dim_date[[#This Row],[date_key]])</f>
        <v>4</v>
      </c>
      <c r="D317">
        <f>DAY(public_dim_date[[#This Row],[date_key]])</f>
        <v>19</v>
      </c>
      <c r="E317" t="str">
        <f t="shared" si="4"/>
        <v>Q3</v>
      </c>
    </row>
    <row r="318" spans="1:5" x14ac:dyDescent="0.25">
      <c r="A318" s="2">
        <v>45767</v>
      </c>
      <c r="B318">
        <f>YEAR(public_dim_date[[#This Row],[date_key]])</f>
        <v>2025</v>
      </c>
      <c r="C318">
        <f>MONTH(public_dim_date[[#This Row],[date_key]])</f>
        <v>4</v>
      </c>
      <c r="D318">
        <f>DAY(public_dim_date[[#This Row],[date_key]])</f>
        <v>20</v>
      </c>
      <c r="E318" t="str">
        <f t="shared" si="4"/>
        <v>Q3</v>
      </c>
    </row>
    <row r="319" spans="1:5" x14ac:dyDescent="0.25">
      <c r="A319" s="2">
        <v>45768</v>
      </c>
      <c r="B319">
        <f>YEAR(public_dim_date[[#This Row],[date_key]])</f>
        <v>2025</v>
      </c>
      <c r="C319">
        <f>MONTH(public_dim_date[[#This Row],[date_key]])</f>
        <v>4</v>
      </c>
      <c r="D319">
        <f>DAY(public_dim_date[[#This Row],[date_key]])</f>
        <v>21</v>
      </c>
      <c r="E319" t="str">
        <f t="shared" si="4"/>
        <v>Q3</v>
      </c>
    </row>
    <row r="320" spans="1:5" x14ac:dyDescent="0.25">
      <c r="A320" s="2">
        <v>45769</v>
      </c>
      <c r="B320">
        <f>YEAR(public_dim_date[[#This Row],[date_key]])</f>
        <v>2025</v>
      </c>
      <c r="C320">
        <f>MONTH(public_dim_date[[#This Row],[date_key]])</f>
        <v>4</v>
      </c>
      <c r="D320">
        <f>DAY(public_dim_date[[#This Row],[date_key]])</f>
        <v>22</v>
      </c>
      <c r="E320" t="str">
        <f t="shared" si="4"/>
        <v>Q3</v>
      </c>
    </row>
    <row r="321" spans="1:5" x14ac:dyDescent="0.25">
      <c r="A321" s="2">
        <v>45770</v>
      </c>
      <c r="B321">
        <f>YEAR(public_dim_date[[#This Row],[date_key]])</f>
        <v>2025</v>
      </c>
      <c r="C321">
        <f>MONTH(public_dim_date[[#This Row],[date_key]])</f>
        <v>4</v>
      </c>
      <c r="D321">
        <f>DAY(public_dim_date[[#This Row],[date_key]])</f>
        <v>23</v>
      </c>
      <c r="E321" t="str">
        <f t="shared" si="4"/>
        <v>Q3</v>
      </c>
    </row>
    <row r="322" spans="1:5" x14ac:dyDescent="0.25">
      <c r="A322" s="2">
        <v>45771</v>
      </c>
      <c r="B322">
        <f>YEAR(public_dim_date[[#This Row],[date_key]])</f>
        <v>2025</v>
      </c>
      <c r="C322">
        <f>MONTH(public_dim_date[[#This Row],[date_key]])</f>
        <v>4</v>
      </c>
      <c r="D322">
        <f>DAY(public_dim_date[[#This Row],[date_key]])</f>
        <v>24</v>
      </c>
      <c r="E322" t="str">
        <f t="shared" si="4"/>
        <v>Q3</v>
      </c>
    </row>
    <row r="323" spans="1:5" x14ac:dyDescent="0.25">
      <c r="A323" s="2">
        <v>45772</v>
      </c>
      <c r="B323">
        <f>YEAR(public_dim_date[[#This Row],[date_key]])</f>
        <v>2025</v>
      </c>
      <c r="C323">
        <f>MONTH(public_dim_date[[#This Row],[date_key]])</f>
        <v>4</v>
      </c>
      <c r="D323">
        <f>DAY(public_dim_date[[#This Row],[date_key]])</f>
        <v>25</v>
      </c>
      <c r="E323" t="str">
        <f t="shared" ref="E323:E340" si="5">"Q" &amp; ROUNDUP(MONTH(B323)/3, 0)</f>
        <v>Q3</v>
      </c>
    </row>
    <row r="324" spans="1:5" x14ac:dyDescent="0.25">
      <c r="A324" s="2">
        <v>45773</v>
      </c>
      <c r="B324">
        <f>YEAR(public_dim_date[[#This Row],[date_key]])</f>
        <v>2025</v>
      </c>
      <c r="C324">
        <f>MONTH(public_dim_date[[#This Row],[date_key]])</f>
        <v>4</v>
      </c>
      <c r="D324">
        <f>DAY(public_dim_date[[#This Row],[date_key]])</f>
        <v>26</v>
      </c>
      <c r="E324" t="str">
        <f t="shared" si="5"/>
        <v>Q3</v>
      </c>
    </row>
    <row r="325" spans="1:5" x14ac:dyDescent="0.25">
      <c r="A325" s="2">
        <v>45774</v>
      </c>
      <c r="B325">
        <f>YEAR(public_dim_date[[#This Row],[date_key]])</f>
        <v>2025</v>
      </c>
      <c r="C325">
        <f>MONTH(public_dim_date[[#This Row],[date_key]])</f>
        <v>4</v>
      </c>
      <c r="D325">
        <f>DAY(public_dim_date[[#This Row],[date_key]])</f>
        <v>27</v>
      </c>
      <c r="E325" t="str">
        <f t="shared" si="5"/>
        <v>Q3</v>
      </c>
    </row>
    <row r="326" spans="1:5" x14ac:dyDescent="0.25">
      <c r="A326" s="2">
        <v>45775</v>
      </c>
      <c r="B326">
        <f>YEAR(public_dim_date[[#This Row],[date_key]])</f>
        <v>2025</v>
      </c>
      <c r="C326">
        <f>MONTH(public_dim_date[[#This Row],[date_key]])</f>
        <v>4</v>
      </c>
      <c r="D326">
        <f>DAY(public_dim_date[[#This Row],[date_key]])</f>
        <v>28</v>
      </c>
      <c r="E326" t="str">
        <f t="shared" si="5"/>
        <v>Q3</v>
      </c>
    </row>
    <row r="327" spans="1:5" x14ac:dyDescent="0.25">
      <c r="A327" s="2">
        <v>45776</v>
      </c>
      <c r="B327">
        <f>YEAR(public_dim_date[[#This Row],[date_key]])</f>
        <v>2025</v>
      </c>
      <c r="C327">
        <f>MONTH(public_dim_date[[#This Row],[date_key]])</f>
        <v>4</v>
      </c>
      <c r="D327">
        <f>DAY(public_dim_date[[#This Row],[date_key]])</f>
        <v>29</v>
      </c>
      <c r="E327" t="str">
        <f t="shared" si="5"/>
        <v>Q3</v>
      </c>
    </row>
    <row r="328" spans="1:5" x14ac:dyDescent="0.25">
      <c r="A328" s="2">
        <v>45778</v>
      </c>
      <c r="B328">
        <f>YEAR(public_dim_date[[#This Row],[date_key]])</f>
        <v>2025</v>
      </c>
      <c r="C328">
        <f>MONTH(public_dim_date[[#This Row],[date_key]])</f>
        <v>5</v>
      </c>
      <c r="D328">
        <f>DAY(public_dim_date[[#This Row],[date_key]])</f>
        <v>1</v>
      </c>
      <c r="E328" t="str">
        <f t="shared" si="5"/>
        <v>Q3</v>
      </c>
    </row>
    <row r="329" spans="1:5" x14ac:dyDescent="0.25">
      <c r="A329" s="2">
        <v>45779</v>
      </c>
      <c r="B329">
        <f>YEAR(public_dim_date[[#This Row],[date_key]])</f>
        <v>2025</v>
      </c>
      <c r="C329">
        <f>MONTH(public_dim_date[[#This Row],[date_key]])</f>
        <v>5</v>
      </c>
      <c r="D329">
        <f>DAY(public_dim_date[[#This Row],[date_key]])</f>
        <v>2</v>
      </c>
      <c r="E329" t="str">
        <f t="shared" si="5"/>
        <v>Q3</v>
      </c>
    </row>
    <row r="330" spans="1:5" x14ac:dyDescent="0.25">
      <c r="A330" s="2">
        <v>45780</v>
      </c>
      <c r="B330">
        <f>YEAR(public_dim_date[[#This Row],[date_key]])</f>
        <v>2025</v>
      </c>
      <c r="C330">
        <f>MONTH(public_dim_date[[#This Row],[date_key]])</f>
        <v>5</v>
      </c>
      <c r="D330">
        <f>DAY(public_dim_date[[#This Row],[date_key]])</f>
        <v>3</v>
      </c>
      <c r="E330" t="str">
        <f t="shared" si="5"/>
        <v>Q3</v>
      </c>
    </row>
    <row r="331" spans="1:5" x14ac:dyDescent="0.25">
      <c r="A331" s="2">
        <v>45781</v>
      </c>
      <c r="B331">
        <f>YEAR(public_dim_date[[#This Row],[date_key]])</f>
        <v>2025</v>
      </c>
      <c r="C331">
        <f>MONTH(public_dim_date[[#This Row],[date_key]])</f>
        <v>5</v>
      </c>
      <c r="D331">
        <f>DAY(public_dim_date[[#This Row],[date_key]])</f>
        <v>4</v>
      </c>
      <c r="E331" t="str">
        <f t="shared" si="5"/>
        <v>Q3</v>
      </c>
    </row>
    <row r="332" spans="1:5" x14ac:dyDescent="0.25">
      <c r="A332" s="2">
        <v>45782</v>
      </c>
      <c r="B332">
        <f>YEAR(public_dim_date[[#This Row],[date_key]])</f>
        <v>2025</v>
      </c>
      <c r="C332">
        <f>MONTH(public_dim_date[[#This Row],[date_key]])</f>
        <v>5</v>
      </c>
      <c r="D332">
        <f>DAY(public_dim_date[[#This Row],[date_key]])</f>
        <v>5</v>
      </c>
      <c r="E332" t="str">
        <f t="shared" si="5"/>
        <v>Q3</v>
      </c>
    </row>
    <row r="333" spans="1:5" x14ac:dyDescent="0.25">
      <c r="A333" s="2">
        <v>45783</v>
      </c>
      <c r="B333">
        <f>YEAR(public_dim_date[[#This Row],[date_key]])</f>
        <v>2025</v>
      </c>
      <c r="C333">
        <f>MONTH(public_dim_date[[#This Row],[date_key]])</f>
        <v>5</v>
      </c>
      <c r="D333">
        <f>DAY(public_dim_date[[#This Row],[date_key]])</f>
        <v>6</v>
      </c>
      <c r="E333" t="str">
        <f t="shared" si="5"/>
        <v>Q3</v>
      </c>
    </row>
    <row r="334" spans="1:5" x14ac:dyDescent="0.25">
      <c r="A334" s="2">
        <v>45784</v>
      </c>
      <c r="B334">
        <f>YEAR(public_dim_date[[#This Row],[date_key]])</f>
        <v>2025</v>
      </c>
      <c r="C334">
        <f>MONTH(public_dim_date[[#This Row],[date_key]])</f>
        <v>5</v>
      </c>
      <c r="D334">
        <f>DAY(public_dim_date[[#This Row],[date_key]])</f>
        <v>7</v>
      </c>
      <c r="E334" t="str">
        <f t="shared" si="5"/>
        <v>Q3</v>
      </c>
    </row>
    <row r="335" spans="1:5" x14ac:dyDescent="0.25">
      <c r="A335" s="2">
        <v>45785</v>
      </c>
      <c r="B335">
        <f>YEAR(public_dim_date[[#This Row],[date_key]])</f>
        <v>2025</v>
      </c>
      <c r="C335">
        <f>MONTH(public_dim_date[[#This Row],[date_key]])</f>
        <v>5</v>
      </c>
      <c r="D335">
        <f>DAY(public_dim_date[[#This Row],[date_key]])</f>
        <v>8</v>
      </c>
      <c r="E335" t="str">
        <f t="shared" si="5"/>
        <v>Q3</v>
      </c>
    </row>
    <row r="336" spans="1:5" x14ac:dyDescent="0.25">
      <c r="A336" s="2">
        <v>45786</v>
      </c>
      <c r="B336">
        <f>YEAR(public_dim_date[[#This Row],[date_key]])</f>
        <v>2025</v>
      </c>
      <c r="C336">
        <f>MONTH(public_dim_date[[#This Row],[date_key]])</f>
        <v>5</v>
      </c>
      <c r="D336">
        <f>DAY(public_dim_date[[#This Row],[date_key]])</f>
        <v>9</v>
      </c>
      <c r="E336" t="str">
        <f t="shared" si="5"/>
        <v>Q3</v>
      </c>
    </row>
    <row r="337" spans="1:5" x14ac:dyDescent="0.25">
      <c r="A337" s="2">
        <v>45787</v>
      </c>
      <c r="B337">
        <f>YEAR(public_dim_date[[#This Row],[date_key]])</f>
        <v>2025</v>
      </c>
      <c r="C337">
        <f>MONTH(public_dim_date[[#This Row],[date_key]])</f>
        <v>5</v>
      </c>
      <c r="D337">
        <f>DAY(public_dim_date[[#This Row],[date_key]])</f>
        <v>10</v>
      </c>
      <c r="E337" t="str">
        <f t="shared" si="5"/>
        <v>Q3</v>
      </c>
    </row>
    <row r="338" spans="1:5" x14ac:dyDescent="0.25">
      <c r="A338" s="2">
        <v>45788</v>
      </c>
      <c r="B338">
        <f>YEAR(public_dim_date[[#This Row],[date_key]])</f>
        <v>2025</v>
      </c>
      <c r="C338">
        <f>MONTH(public_dim_date[[#This Row],[date_key]])</f>
        <v>5</v>
      </c>
      <c r="D338">
        <f>DAY(public_dim_date[[#This Row],[date_key]])</f>
        <v>11</v>
      </c>
      <c r="E338" t="str">
        <f t="shared" si="5"/>
        <v>Q3</v>
      </c>
    </row>
    <row r="339" spans="1:5" x14ac:dyDescent="0.25">
      <c r="A339" s="2">
        <v>45789</v>
      </c>
      <c r="B339">
        <f>YEAR(public_dim_date[[#This Row],[date_key]])</f>
        <v>2025</v>
      </c>
      <c r="C339">
        <f>MONTH(public_dim_date[[#This Row],[date_key]])</f>
        <v>5</v>
      </c>
      <c r="D339">
        <f>DAY(public_dim_date[[#This Row],[date_key]])</f>
        <v>12</v>
      </c>
      <c r="E339" t="str">
        <f t="shared" si="5"/>
        <v>Q3</v>
      </c>
    </row>
    <row r="340" spans="1:5" x14ac:dyDescent="0.25">
      <c r="A340" s="2">
        <v>45790</v>
      </c>
      <c r="B340">
        <f>YEAR(public_dim_date[[#This Row],[date_key]])</f>
        <v>2025</v>
      </c>
      <c r="C340">
        <f>MONTH(public_dim_date[[#This Row],[date_key]])</f>
        <v>5</v>
      </c>
      <c r="D340">
        <f>DAY(public_dim_date[[#This Row],[date_key]])</f>
        <v>13</v>
      </c>
      <c r="E340" t="str">
        <f t="shared" si="5"/>
        <v>Q3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BD35-8822-4AD8-A71A-E0B7E506421F}">
  <dimension ref="A1:E999"/>
  <sheetViews>
    <sheetView workbookViewId="0">
      <selection sqref="A1:E999"/>
    </sheetView>
  </sheetViews>
  <sheetFormatPr defaultRowHeight="15" x14ac:dyDescent="0.25"/>
  <cols>
    <col min="1" max="1" width="14.28515625" bestFit="1" customWidth="1"/>
    <col min="2" max="2" width="12.85546875" bestFit="1" customWidth="1"/>
    <col min="3" max="3" width="16.28515625" bestFit="1" customWidth="1"/>
    <col min="4" max="4" width="11.5703125" bestFit="1" customWidth="1"/>
    <col min="5" max="5" width="14.28515625" bestFit="1" customWidth="1"/>
  </cols>
  <sheetData>
    <row r="1" spans="1:5" x14ac:dyDescent="0.25">
      <c r="A1" t="s">
        <v>215</v>
      </c>
      <c r="B1" t="s">
        <v>216</v>
      </c>
      <c r="C1" t="s">
        <v>217</v>
      </c>
      <c r="D1" t="s">
        <v>218</v>
      </c>
      <c r="E1" t="s">
        <v>219</v>
      </c>
    </row>
    <row r="2" spans="1:5" x14ac:dyDescent="0.25">
      <c r="A2">
        <v>13</v>
      </c>
      <c r="B2" s="1" t="s">
        <v>220</v>
      </c>
      <c r="C2" s="1" t="s">
        <v>221</v>
      </c>
      <c r="D2" s="1" t="s">
        <v>222</v>
      </c>
      <c r="E2" s="1" t="s">
        <v>223</v>
      </c>
    </row>
    <row r="3" spans="1:5" x14ac:dyDescent="0.25">
      <c r="A3">
        <v>24</v>
      </c>
      <c r="B3" s="1" t="s">
        <v>224</v>
      </c>
      <c r="C3" s="1" t="s">
        <v>225</v>
      </c>
      <c r="D3" s="1" t="s">
        <v>222</v>
      </c>
      <c r="E3" s="1" t="s">
        <v>223</v>
      </c>
    </row>
    <row r="4" spans="1:5" x14ac:dyDescent="0.25">
      <c r="A4">
        <v>30</v>
      </c>
      <c r="B4" s="1" t="s">
        <v>226</v>
      </c>
      <c r="C4" s="1" t="s">
        <v>227</v>
      </c>
      <c r="D4" s="1" t="s">
        <v>222</v>
      </c>
      <c r="E4" s="1" t="s">
        <v>223</v>
      </c>
    </row>
    <row r="5" spans="1:5" x14ac:dyDescent="0.25">
      <c r="A5">
        <v>41</v>
      </c>
      <c r="B5" s="1" t="s">
        <v>228</v>
      </c>
      <c r="C5" s="1" t="s">
        <v>229</v>
      </c>
      <c r="D5" s="1" t="s">
        <v>222</v>
      </c>
      <c r="E5" s="1" t="s">
        <v>223</v>
      </c>
    </row>
    <row r="6" spans="1:5" x14ac:dyDescent="0.25">
      <c r="A6">
        <v>42</v>
      </c>
      <c r="B6" s="1" t="s">
        <v>230</v>
      </c>
      <c r="C6" s="1" t="s">
        <v>231</v>
      </c>
      <c r="D6" s="1" t="s">
        <v>222</v>
      </c>
      <c r="E6" s="1" t="s">
        <v>223</v>
      </c>
    </row>
    <row r="7" spans="1:5" x14ac:dyDescent="0.25">
      <c r="A7">
        <v>46</v>
      </c>
      <c r="B7" s="1" t="s">
        <v>232</v>
      </c>
      <c r="C7" s="1" t="s">
        <v>233</v>
      </c>
      <c r="D7" s="1" t="s">
        <v>222</v>
      </c>
      <c r="E7" s="1" t="s">
        <v>223</v>
      </c>
    </row>
    <row r="8" spans="1:5" x14ac:dyDescent="0.25">
      <c r="A8">
        <v>47</v>
      </c>
      <c r="B8" s="1" t="s">
        <v>234</v>
      </c>
      <c r="C8" s="1" t="s">
        <v>235</v>
      </c>
      <c r="D8" s="1" t="s">
        <v>222</v>
      </c>
      <c r="E8" s="1" t="s">
        <v>223</v>
      </c>
    </row>
    <row r="9" spans="1:5" x14ac:dyDescent="0.25">
      <c r="A9">
        <v>62</v>
      </c>
      <c r="B9" s="1" t="s">
        <v>236</v>
      </c>
      <c r="C9" s="1" t="s">
        <v>237</v>
      </c>
      <c r="D9" s="1" t="s">
        <v>222</v>
      </c>
      <c r="E9" s="1" t="s">
        <v>223</v>
      </c>
    </row>
    <row r="10" spans="1:5" x14ac:dyDescent="0.25">
      <c r="A10">
        <v>63</v>
      </c>
      <c r="B10" s="1" t="s">
        <v>238</v>
      </c>
      <c r="C10" s="1" t="s">
        <v>239</v>
      </c>
      <c r="D10" s="1" t="s">
        <v>222</v>
      </c>
      <c r="E10" s="1" t="s">
        <v>223</v>
      </c>
    </row>
    <row r="11" spans="1:5" x14ac:dyDescent="0.25">
      <c r="A11">
        <v>67</v>
      </c>
      <c r="B11" s="1" t="s">
        <v>240</v>
      </c>
      <c r="C11" s="1" t="s">
        <v>241</v>
      </c>
      <c r="D11" s="1" t="s">
        <v>222</v>
      </c>
      <c r="E11" s="1" t="s">
        <v>223</v>
      </c>
    </row>
    <row r="12" spans="1:5" x14ac:dyDescent="0.25">
      <c r="A12">
        <v>74</v>
      </c>
      <c r="B12" s="1" t="s">
        <v>242</v>
      </c>
      <c r="C12" s="1" t="s">
        <v>243</v>
      </c>
      <c r="D12" s="1" t="s">
        <v>222</v>
      </c>
      <c r="E12" s="1" t="s">
        <v>223</v>
      </c>
    </row>
    <row r="13" spans="1:5" x14ac:dyDescent="0.25">
      <c r="A13">
        <v>79</v>
      </c>
      <c r="B13" s="1" t="s">
        <v>244</v>
      </c>
      <c r="C13" s="1" t="s">
        <v>245</v>
      </c>
      <c r="D13" s="1" t="s">
        <v>222</v>
      </c>
      <c r="E13" s="1" t="s">
        <v>223</v>
      </c>
    </row>
    <row r="14" spans="1:5" x14ac:dyDescent="0.25">
      <c r="A14">
        <v>91</v>
      </c>
      <c r="B14" s="1" t="s">
        <v>246</v>
      </c>
      <c r="C14" s="1" t="s">
        <v>247</v>
      </c>
      <c r="D14" s="1" t="s">
        <v>222</v>
      </c>
      <c r="E14" s="1" t="s">
        <v>223</v>
      </c>
    </row>
    <row r="15" spans="1:5" x14ac:dyDescent="0.25">
      <c r="A15">
        <v>94</v>
      </c>
      <c r="B15" s="1" t="s">
        <v>248</v>
      </c>
      <c r="C15" s="1" t="s">
        <v>249</v>
      </c>
      <c r="D15" s="1" t="s">
        <v>222</v>
      </c>
      <c r="E15" s="1" t="s">
        <v>223</v>
      </c>
    </row>
    <row r="16" spans="1:5" x14ac:dyDescent="0.25">
      <c r="A16">
        <v>111</v>
      </c>
      <c r="B16" s="1" t="s">
        <v>250</v>
      </c>
      <c r="C16" s="1" t="s">
        <v>251</v>
      </c>
      <c r="D16" s="1" t="s">
        <v>222</v>
      </c>
      <c r="E16" s="1" t="s">
        <v>223</v>
      </c>
    </row>
    <row r="17" spans="1:5" x14ac:dyDescent="0.25">
      <c r="A17">
        <v>118</v>
      </c>
      <c r="B17" s="1" t="s">
        <v>252</v>
      </c>
      <c r="C17" s="1" t="s">
        <v>253</v>
      </c>
      <c r="D17" s="1" t="s">
        <v>222</v>
      </c>
      <c r="E17" s="1" t="s">
        <v>223</v>
      </c>
    </row>
    <row r="18" spans="1:5" x14ac:dyDescent="0.25">
      <c r="A18">
        <v>136</v>
      </c>
      <c r="B18" s="1" t="s">
        <v>254</v>
      </c>
      <c r="C18" s="1" t="s">
        <v>255</v>
      </c>
      <c r="D18" s="1" t="s">
        <v>222</v>
      </c>
      <c r="E18" s="1" t="s">
        <v>223</v>
      </c>
    </row>
    <row r="19" spans="1:5" x14ac:dyDescent="0.25">
      <c r="A19">
        <v>138</v>
      </c>
      <c r="B19" s="1" t="s">
        <v>256</v>
      </c>
      <c r="C19" s="1" t="s">
        <v>257</v>
      </c>
      <c r="D19" s="1" t="s">
        <v>222</v>
      </c>
      <c r="E19" s="1" t="s">
        <v>223</v>
      </c>
    </row>
    <row r="20" spans="1:5" x14ac:dyDescent="0.25">
      <c r="A20">
        <v>156</v>
      </c>
      <c r="B20" s="1" t="s">
        <v>258</v>
      </c>
      <c r="C20" s="1" t="s">
        <v>259</v>
      </c>
      <c r="D20" s="1" t="s">
        <v>222</v>
      </c>
      <c r="E20" s="1" t="s">
        <v>223</v>
      </c>
    </row>
    <row r="21" spans="1:5" x14ac:dyDescent="0.25">
      <c r="A21">
        <v>161</v>
      </c>
      <c r="B21" s="1" t="s">
        <v>260</v>
      </c>
      <c r="C21" s="1" t="s">
        <v>261</v>
      </c>
      <c r="D21" s="1" t="s">
        <v>222</v>
      </c>
      <c r="E21" s="1" t="s">
        <v>223</v>
      </c>
    </row>
    <row r="22" spans="1:5" x14ac:dyDescent="0.25">
      <c r="A22">
        <v>181</v>
      </c>
      <c r="B22" s="1" t="s">
        <v>262</v>
      </c>
      <c r="C22" s="1" t="s">
        <v>263</v>
      </c>
      <c r="D22" s="1" t="s">
        <v>222</v>
      </c>
      <c r="E22" s="1" t="s">
        <v>223</v>
      </c>
    </row>
    <row r="23" spans="1:5" x14ac:dyDescent="0.25">
      <c r="A23">
        <v>185</v>
      </c>
      <c r="B23" s="1" t="s">
        <v>264</v>
      </c>
      <c r="C23" s="1" t="s">
        <v>265</v>
      </c>
      <c r="D23" s="1" t="s">
        <v>222</v>
      </c>
      <c r="E23" s="1" t="s">
        <v>223</v>
      </c>
    </row>
    <row r="24" spans="1:5" x14ac:dyDescent="0.25">
      <c r="A24">
        <v>192</v>
      </c>
      <c r="B24" s="1" t="s">
        <v>266</v>
      </c>
      <c r="C24" s="1" t="s">
        <v>267</v>
      </c>
      <c r="D24" s="1" t="s">
        <v>222</v>
      </c>
      <c r="E24" s="1" t="s">
        <v>223</v>
      </c>
    </row>
    <row r="25" spans="1:5" x14ac:dyDescent="0.25">
      <c r="A25">
        <v>197</v>
      </c>
      <c r="B25" s="1" t="s">
        <v>268</v>
      </c>
      <c r="C25" s="1" t="s">
        <v>269</v>
      </c>
      <c r="D25" s="1" t="s">
        <v>222</v>
      </c>
      <c r="E25" s="1" t="s">
        <v>223</v>
      </c>
    </row>
    <row r="26" spans="1:5" x14ac:dyDescent="0.25">
      <c r="A26">
        <v>201</v>
      </c>
      <c r="B26" s="1" t="s">
        <v>270</v>
      </c>
      <c r="C26" s="1" t="s">
        <v>271</v>
      </c>
      <c r="D26" s="1" t="s">
        <v>222</v>
      </c>
      <c r="E26" s="1" t="s">
        <v>223</v>
      </c>
    </row>
    <row r="27" spans="1:5" x14ac:dyDescent="0.25">
      <c r="A27">
        <v>208</v>
      </c>
      <c r="B27" s="1" t="s">
        <v>246</v>
      </c>
      <c r="C27" s="1" t="s">
        <v>247</v>
      </c>
      <c r="D27" s="1" t="s">
        <v>222</v>
      </c>
      <c r="E27" s="1" t="s">
        <v>223</v>
      </c>
    </row>
    <row r="28" spans="1:5" x14ac:dyDescent="0.25">
      <c r="A28">
        <v>209</v>
      </c>
      <c r="B28" s="1" t="s">
        <v>252</v>
      </c>
      <c r="C28" s="1" t="s">
        <v>253</v>
      </c>
      <c r="D28" s="1" t="s">
        <v>222</v>
      </c>
      <c r="E28" s="1" t="s">
        <v>223</v>
      </c>
    </row>
    <row r="29" spans="1:5" x14ac:dyDescent="0.25">
      <c r="A29">
        <v>212</v>
      </c>
      <c r="B29" s="1" t="s">
        <v>272</v>
      </c>
      <c r="C29" s="1" t="s">
        <v>273</v>
      </c>
      <c r="D29" s="1" t="s">
        <v>222</v>
      </c>
      <c r="E29" s="1" t="s">
        <v>223</v>
      </c>
    </row>
    <row r="30" spans="1:5" x14ac:dyDescent="0.25">
      <c r="A30">
        <v>219</v>
      </c>
      <c r="B30" s="1" t="s">
        <v>274</v>
      </c>
      <c r="C30" s="1" t="s">
        <v>275</v>
      </c>
      <c r="D30" s="1" t="s">
        <v>222</v>
      </c>
      <c r="E30" s="1" t="s">
        <v>223</v>
      </c>
    </row>
    <row r="31" spans="1:5" x14ac:dyDescent="0.25">
      <c r="A31">
        <v>237</v>
      </c>
      <c r="B31" s="1" t="s">
        <v>276</v>
      </c>
      <c r="C31" s="1" t="s">
        <v>277</v>
      </c>
      <c r="D31" s="1" t="s">
        <v>222</v>
      </c>
      <c r="E31" s="1" t="s">
        <v>223</v>
      </c>
    </row>
    <row r="32" spans="1:5" x14ac:dyDescent="0.25">
      <c r="A32">
        <v>243</v>
      </c>
      <c r="B32" s="1" t="s">
        <v>278</v>
      </c>
      <c r="C32" s="1" t="s">
        <v>279</v>
      </c>
      <c r="D32" s="1" t="s">
        <v>222</v>
      </c>
      <c r="E32" s="1" t="s">
        <v>223</v>
      </c>
    </row>
    <row r="33" spans="1:5" x14ac:dyDescent="0.25">
      <c r="A33">
        <v>249</v>
      </c>
      <c r="B33" s="1" t="s">
        <v>280</v>
      </c>
      <c r="C33" s="1" t="s">
        <v>281</v>
      </c>
      <c r="D33" s="1" t="s">
        <v>222</v>
      </c>
      <c r="E33" s="1" t="s">
        <v>223</v>
      </c>
    </row>
    <row r="34" spans="1:5" x14ac:dyDescent="0.25">
      <c r="A34">
        <v>254</v>
      </c>
      <c r="B34" s="1" t="s">
        <v>282</v>
      </c>
      <c r="C34" s="1" t="s">
        <v>283</v>
      </c>
      <c r="D34" s="1" t="s">
        <v>222</v>
      </c>
      <c r="E34" s="1" t="s">
        <v>223</v>
      </c>
    </row>
    <row r="35" spans="1:5" x14ac:dyDescent="0.25">
      <c r="A35">
        <v>257</v>
      </c>
      <c r="B35" s="1" t="s">
        <v>284</v>
      </c>
      <c r="C35" s="1" t="s">
        <v>285</v>
      </c>
      <c r="D35" s="1" t="s">
        <v>222</v>
      </c>
      <c r="E35" s="1" t="s">
        <v>223</v>
      </c>
    </row>
    <row r="36" spans="1:5" x14ac:dyDescent="0.25">
      <c r="A36">
        <v>259</v>
      </c>
      <c r="B36" s="1" t="s">
        <v>286</v>
      </c>
      <c r="C36" s="1" t="s">
        <v>287</v>
      </c>
      <c r="D36" s="1" t="s">
        <v>222</v>
      </c>
      <c r="E36" s="1" t="s">
        <v>223</v>
      </c>
    </row>
    <row r="37" spans="1:5" x14ac:dyDescent="0.25">
      <c r="A37">
        <v>278</v>
      </c>
      <c r="B37" s="1" t="s">
        <v>288</v>
      </c>
      <c r="C37" s="1" t="s">
        <v>289</v>
      </c>
      <c r="D37" s="1" t="s">
        <v>222</v>
      </c>
      <c r="E37" s="1" t="s">
        <v>223</v>
      </c>
    </row>
    <row r="38" spans="1:5" x14ac:dyDescent="0.25">
      <c r="A38">
        <v>279</v>
      </c>
      <c r="B38" s="1" t="s">
        <v>284</v>
      </c>
      <c r="C38" s="1" t="s">
        <v>285</v>
      </c>
      <c r="D38" s="1" t="s">
        <v>222</v>
      </c>
      <c r="E38" s="1" t="s">
        <v>223</v>
      </c>
    </row>
    <row r="39" spans="1:5" x14ac:dyDescent="0.25">
      <c r="A39">
        <v>287</v>
      </c>
      <c r="B39" s="1" t="s">
        <v>290</v>
      </c>
      <c r="C39" s="1" t="s">
        <v>291</v>
      </c>
      <c r="D39" s="1" t="s">
        <v>222</v>
      </c>
      <c r="E39" s="1" t="s">
        <v>223</v>
      </c>
    </row>
    <row r="40" spans="1:5" x14ac:dyDescent="0.25">
      <c r="A40">
        <v>298</v>
      </c>
      <c r="B40" s="1" t="s">
        <v>292</v>
      </c>
      <c r="C40" s="1" t="s">
        <v>293</v>
      </c>
      <c r="D40" s="1" t="s">
        <v>222</v>
      </c>
      <c r="E40" s="1" t="s">
        <v>223</v>
      </c>
    </row>
    <row r="41" spans="1:5" x14ac:dyDescent="0.25">
      <c r="A41">
        <v>301</v>
      </c>
      <c r="B41" s="1" t="s">
        <v>220</v>
      </c>
      <c r="C41" s="1" t="s">
        <v>221</v>
      </c>
      <c r="D41" s="1" t="s">
        <v>222</v>
      </c>
      <c r="E41" s="1" t="s">
        <v>223</v>
      </c>
    </row>
    <row r="42" spans="1:5" x14ac:dyDescent="0.25">
      <c r="A42">
        <v>310</v>
      </c>
      <c r="B42" s="1" t="s">
        <v>284</v>
      </c>
      <c r="C42" s="1" t="s">
        <v>285</v>
      </c>
      <c r="D42" s="1" t="s">
        <v>222</v>
      </c>
      <c r="E42" s="1" t="s">
        <v>223</v>
      </c>
    </row>
    <row r="43" spans="1:5" x14ac:dyDescent="0.25">
      <c r="A43">
        <v>320</v>
      </c>
      <c r="B43" s="1" t="s">
        <v>294</v>
      </c>
      <c r="C43" s="1" t="s">
        <v>295</v>
      </c>
      <c r="D43" s="1" t="s">
        <v>222</v>
      </c>
      <c r="E43" s="1" t="s">
        <v>223</v>
      </c>
    </row>
    <row r="44" spans="1:5" x14ac:dyDescent="0.25">
      <c r="A44">
        <v>329</v>
      </c>
      <c r="B44" s="1" t="s">
        <v>296</v>
      </c>
      <c r="C44" s="1" t="s">
        <v>297</v>
      </c>
      <c r="D44" s="1" t="s">
        <v>222</v>
      </c>
      <c r="E44" s="1" t="s">
        <v>223</v>
      </c>
    </row>
    <row r="45" spans="1:5" x14ac:dyDescent="0.25">
      <c r="A45">
        <v>331</v>
      </c>
      <c r="B45" s="1" t="s">
        <v>298</v>
      </c>
      <c r="C45" s="1" t="s">
        <v>299</v>
      </c>
      <c r="D45" s="1" t="s">
        <v>222</v>
      </c>
      <c r="E45" s="1" t="s">
        <v>223</v>
      </c>
    </row>
    <row r="46" spans="1:5" x14ac:dyDescent="0.25">
      <c r="A46">
        <v>341</v>
      </c>
      <c r="B46" s="1" t="s">
        <v>236</v>
      </c>
      <c r="C46" s="1" t="s">
        <v>237</v>
      </c>
      <c r="D46" s="1" t="s">
        <v>222</v>
      </c>
      <c r="E46" s="1" t="s">
        <v>223</v>
      </c>
    </row>
    <row r="47" spans="1:5" x14ac:dyDescent="0.25">
      <c r="A47">
        <v>346</v>
      </c>
      <c r="B47" s="1" t="s">
        <v>282</v>
      </c>
      <c r="C47" s="1" t="s">
        <v>283</v>
      </c>
      <c r="D47" s="1" t="s">
        <v>222</v>
      </c>
      <c r="E47" s="1" t="s">
        <v>223</v>
      </c>
    </row>
    <row r="48" spans="1:5" x14ac:dyDescent="0.25">
      <c r="A48">
        <v>353</v>
      </c>
      <c r="B48" s="1" t="s">
        <v>300</v>
      </c>
      <c r="C48" s="1" t="s">
        <v>301</v>
      </c>
      <c r="D48" s="1" t="s">
        <v>222</v>
      </c>
      <c r="E48" s="1" t="s">
        <v>223</v>
      </c>
    </row>
    <row r="49" spans="1:5" x14ac:dyDescent="0.25">
      <c r="A49">
        <v>361</v>
      </c>
      <c r="B49" s="1" t="s">
        <v>254</v>
      </c>
      <c r="C49" s="1" t="s">
        <v>255</v>
      </c>
      <c r="D49" s="1" t="s">
        <v>222</v>
      </c>
      <c r="E49" s="1" t="s">
        <v>223</v>
      </c>
    </row>
    <row r="50" spans="1:5" x14ac:dyDescent="0.25">
      <c r="A50">
        <v>363</v>
      </c>
      <c r="B50" s="1" t="s">
        <v>302</v>
      </c>
      <c r="C50" s="1" t="s">
        <v>303</v>
      </c>
      <c r="D50" s="1" t="s">
        <v>222</v>
      </c>
      <c r="E50" s="1" t="s">
        <v>223</v>
      </c>
    </row>
    <row r="51" spans="1:5" x14ac:dyDescent="0.25">
      <c r="A51">
        <v>368</v>
      </c>
      <c r="B51" s="1" t="s">
        <v>304</v>
      </c>
      <c r="C51" s="1" t="s">
        <v>305</v>
      </c>
      <c r="D51" s="1" t="s">
        <v>222</v>
      </c>
      <c r="E51" s="1" t="s">
        <v>223</v>
      </c>
    </row>
    <row r="52" spans="1:5" x14ac:dyDescent="0.25">
      <c r="A52">
        <v>372</v>
      </c>
      <c r="B52" s="1" t="s">
        <v>306</v>
      </c>
      <c r="C52" s="1" t="s">
        <v>307</v>
      </c>
      <c r="D52" s="1" t="s">
        <v>222</v>
      </c>
      <c r="E52" s="1" t="s">
        <v>223</v>
      </c>
    </row>
    <row r="53" spans="1:5" x14ac:dyDescent="0.25">
      <c r="A53">
        <v>376</v>
      </c>
      <c r="B53" s="1" t="s">
        <v>238</v>
      </c>
      <c r="C53" s="1" t="s">
        <v>239</v>
      </c>
      <c r="D53" s="1" t="s">
        <v>222</v>
      </c>
      <c r="E53" s="1" t="s">
        <v>223</v>
      </c>
    </row>
    <row r="54" spans="1:5" x14ac:dyDescent="0.25">
      <c r="A54">
        <v>406</v>
      </c>
      <c r="B54" s="1" t="s">
        <v>308</v>
      </c>
      <c r="C54" s="1" t="s">
        <v>309</v>
      </c>
      <c r="D54" s="1" t="s">
        <v>222</v>
      </c>
      <c r="E54" s="1" t="s">
        <v>223</v>
      </c>
    </row>
    <row r="55" spans="1:5" x14ac:dyDescent="0.25">
      <c r="A55">
        <v>413</v>
      </c>
      <c r="B55" s="1" t="s">
        <v>310</v>
      </c>
      <c r="C55" s="1" t="s">
        <v>311</v>
      </c>
      <c r="D55" s="1" t="s">
        <v>222</v>
      </c>
      <c r="E55" s="1" t="s">
        <v>223</v>
      </c>
    </row>
    <row r="56" spans="1:5" x14ac:dyDescent="0.25">
      <c r="A56">
        <v>415</v>
      </c>
      <c r="B56" s="1" t="s">
        <v>312</v>
      </c>
      <c r="C56" s="1" t="s">
        <v>313</v>
      </c>
      <c r="D56" s="1" t="s">
        <v>222</v>
      </c>
      <c r="E56" s="1" t="s">
        <v>223</v>
      </c>
    </row>
    <row r="57" spans="1:5" x14ac:dyDescent="0.25">
      <c r="A57">
        <v>418</v>
      </c>
      <c r="B57" s="1" t="s">
        <v>228</v>
      </c>
      <c r="C57" s="1" t="s">
        <v>229</v>
      </c>
      <c r="D57" s="1" t="s">
        <v>222</v>
      </c>
      <c r="E57" s="1" t="s">
        <v>223</v>
      </c>
    </row>
    <row r="58" spans="1:5" x14ac:dyDescent="0.25">
      <c r="A58">
        <v>422</v>
      </c>
      <c r="B58" s="1" t="s">
        <v>302</v>
      </c>
      <c r="C58" s="1" t="s">
        <v>303</v>
      </c>
      <c r="D58" s="1" t="s">
        <v>222</v>
      </c>
      <c r="E58" s="1" t="s">
        <v>223</v>
      </c>
    </row>
    <row r="59" spans="1:5" x14ac:dyDescent="0.25">
      <c r="A59">
        <v>424</v>
      </c>
      <c r="B59" s="1" t="s">
        <v>314</v>
      </c>
      <c r="C59" s="1" t="s">
        <v>315</v>
      </c>
      <c r="D59" s="1" t="s">
        <v>222</v>
      </c>
      <c r="E59" s="1" t="s">
        <v>223</v>
      </c>
    </row>
    <row r="60" spans="1:5" x14ac:dyDescent="0.25">
      <c r="A60">
        <v>429</v>
      </c>
      <c r="B60" s="1" t="s">
        <v>268</v>
      </c>
      <c r="C60" s="1" t="s">
        <v>269</v>
      </c>
      <c r="D60" s="1" t="s">
        <v>222</v>
      </c>
      <c r="E60" s="1" t="s">
        <v>223</v>
      </c>
    </row>
    <row r="61" spans="1:5" x14ac:dyDescent="0.25">
      <c r="A61">
        <v>451</v>
      </c>
      <c r="B61" s="1" t="s">
        <v>316</v>
      </c>
      <c r="C61" s="1" t="s">
        <v>317</v>
      </c>
      <c r="D61" s="1" t="s">
        <v>222</v>
      </c>
      <c r="E61" s="1" t="s">
        <v>223</v>
      </c>
    </row>
    <row r="62" spans="1:5" x14ac:dyDescent="0.25">
      <c r="A62">
        <v>454</v>
      </c>
      <c r="B62" s="1" t="s">
        <v>318</v>
      </c>
      <c r="C62" s="1" t="s">
        <v>319</v>
      </c>
      <c r="D62" s="1" t="s">
        <v>222</v>
      </c>
      <c r="E62" s="1" t="s">
        <v>223</v>
      </c>
    </row>
    <row r="63" spans="1:5" x14ac:dyDescent="0.25">
      <c r="A63">
        <v>455</v>
      </c>
      <c r="B63" s="1" t="s">
        <v>288</v>
      </c>
      <c r="C63" s="1" t="s">
        <v>289</v>
      </c>
      <c r="D63" s="1" t="s">
        <v>222</v>
      </c>
      <c r="E63" s="1" t="s">
        <v>223</v>
      </c>
    </row>
    <row r="64" spans="1:5" x14ac:dyDescent="0.25">
      <c r="A64">
        <v>461</v>
      </c>
      <c r="B64" s="1" t="s">
        <v>284</v>
      </c>
      <c r="C64" s="1" t="s">
        <v>285</v>
      </c>
      <c r="D64" s="1" t="s">
        <v>222</v>
      </c>
      <c r="E64" s="1" t="s">
        <v>223</v>
      </c>
    </row>
    <row r="65" spans="1:5" x14ac:dyDescent="0.25">
      <c r="A65">
        <v>466</v>
      </c>
      <c r="B65" s="1" t="s">
        <v>248</v>
      </c>
      <c r="C65" s="1" t="s">
        <v>249</v>
      </c>
      <c r="D65" s="1" t="s">
        <v>222</v>
      </c>
      <c r="E65" s="1" t="s">
        <v>223</v>
      </c>
    </row>
    <row r="66" spans="1:5" x14ac:dyDescent="0.25">
      <c r="A66">
        <v>471</v>
      </c>
      <c r="B66" s="1" t="s">
        <v>274</v>
      </c>
      <c r="C66" s="1" t="s">
        <v>275</v>
      </c>
      <c r="D66" s="1" t="s">
        <v>222</v>
      </c>
      <c r="E66" s="1" t="s">
        <v>223</v>
      </c>
    </row>
    <row r="67" spans="1:5" x14ac:dyDescent="0.25">
      <c r="A67">
        <v>472</v>
      </c>
      <c r="B67" s="1" t="s">
        <v>320</v>
      </c>
      <c r="C67" s="1" t="s">
        <v>321</v>
      </c>
      <c r="D67" s="1" t="s">
        <v>222</v>
      </c>
      <c r="E67" s="1" t="s">
        <v>223</v>
      </c>
    </row>
    <row r="68" spans="1:5" x14ac:dyDescent="0.25">
      <c r="A68">
        <v>473</v>
      </c>
      <c r="B68" s="1" t="s">
        <v>274</v>
      </c>
      <c r="C68" s="1" t="s">
        <v>275</v>
      </c>
      <c r="D68" s="1" t="s">
        <v>222</v>
      </c>
      <c r="E68" s="1" t="s">
        <v>223</v>
      </c>
    </row>
    <row r="69" spans="1:5" x14ac:dyDescent="0.25">
      <c r="A69">
        <v>474</v>
      </c>
      <c r="B69" s="1" t="s">
        <v>322</v>
      </c>
      <c r="C69" s="1" t="s">
        <v>323</v>
      </c>
      <c r="D69" s="1" t="s">
        <v>222</v>
      </c>
      <c r="E69" s="1" t="s">
        <v>223</v>
      </c>
    </row>
    <row r="70" spans="1:5" x14ac:dyDescent="0.25">
      <c r="A70">
        <v>492</v>
      </c>
      <c r="B70" s="1" t="s">
        <v>320</v>
      </c>
      <c r="C70" s="1" t="s">
        <v>321</v>
      </c>
      <c r="D70" s="1" t="s">
        <v>222</v>
      </c>
      <c r="E70" s="1" t="s">
        <v>223</v>
      </c>
    </row>
    <row r="71" spans="1:5" x14ac:dyDescent="0.25">
      <c r="A71">
        <v>499</v>
      </c>
      <c r="B71" s="1" t="s">
        <v>312</v>
      </c>
      <c r="C71" s="1" t="s">
        <v>313</v>
      </c>
      <c r="D71" s="1" t="s">
        <v>222</v>
      </c>
      <c r="E71" s="1" t="s">
        <v>223</v>
      </c>
    </row>
    <row r="72" spans="1:5" x14ac:dyDescent="0.25">
      <c r="A72">
        <v>515</v>
      </c>
      <c r="B72" s="1" t="s">
        <v>324</v>
      </c>
      <c r="C72" s="1" t="s">
        <v>325</v>
      </c>
      <c r="D72" s="1" t="s">
        <v>222</v>
      </c>
      <c r="E72" s="1" t="s">
        <v>223</v>
      </c>
    </row>
    <row r="73" spans="1:5" x14ac:dyDescent="0.25">
      <c r="A73">
        <v>521</v>
      </c>
      <c r="B73" s="1" t="s">
        <v>326</v>
      </c>
      <c r="C73" s="1" t="s">
        <v>327</v>
      </c>
      <c r="D73" s="1" t="s">
        <v>222</v>
      </c>
      <c r="E73" s="1" t="s">
        <v>223</v>
      </c>
    </row>
    <row r="74" spans="1:5" x14ac:dyDescent="0.25">
      <c r="A74">
        <v>537</v>
      </c>
      <c r="B74" s="1" t="s">
        <v>296</v>
      </c>
      <c r="C74" s="1" t="s">
        <v>297</v>
      </c>
      <c r="D74" s="1" t="s">
        <v>222</v>
      </c>
      <c r="E74" s="1" t="s">
        <v>223</v>
      </c>
    </row>
    <row r="75" spans="1:5" x14ac:dyDescent="0.25">
      <c r="A75">
        <v>541</v>
      </c>
      <c r="B75" s="1" t="s">
        <v>328</v>
      </c>
      <c r="C75" s="1" t="s">
        <v>329</v>
      </c>
      <c r="D75" s="1" t="s">
        <v>222</v>
      </c>
      <c r="E75" s="1" t="s">
        <v>223</v>
      </c>
    </row>
    <row r="76" spans="1:5" x14ac:dyDescent="0.25">
      <c r="A76">
        <v>556</v>
      </c>
      <c r="B76" s="1" t="s">
        <v>330</v>
      </c>
      <c r="C76" s="1" t="s">
        <v>331</v>
      </c>
      <c r="D76" s="1" t="s">
        <v>222</v>
      </c>
      <c r="E76" s="1" t="s">
        <v>223</v>
      </c>
    </row>
    <row r="77" spans="1:5" x14ac:dyDescent="0.25">
      <c r="A77">
        <v>559</v>
      </c>
      <c r="B77" s="1" t="s">
        <v>282</v>
      </c>
      <c r="C77" s="1" t="s">
        <v>283</v>
      </c>
      <c r="D77" s="1" t="s">
        <v>222</v>
      </c>
      <c r="E77" s="1" t="s">
        <v>223</v>
      </c>
    </row>
    <row r="78" spans="1:5" x14ac:dyDescent="0.25">
      <c r="A78">
        <v>561</v>
      </c>
      <c r="B78" s="1" t="s">
        <v>332</v>
      </c>
      <c r="C78" s="1" t="s">
        <v>333</v>
      </c>
      <c r="D78" s="1" t="s">
        <v>222</v>
      </c>
      <c r="E78" s="1" t="s">
        <v>223</v>
      </c>
    </row>
    <row r="79" spans="1:5" x14ac:dyDescent="0.25">
      <c r="A79">
        <v>568</v>
      </c>
      <c r="B79" s="1" t="s">
        <v>246</v>
      </c>
      <c r="C79" s="1" t="s">
        <v>247</v>
      </c>
      <c r="D79" s="1" t="s">
        <v>222</v>
      </c>
      <c r="E79" s="1" t="s">
        <v>223</v>
      </c>
    </row>
    <row r="80" spans="1:5" x14ac:dyDescent="0.25">
      <c r="A80">
        <v>580</v>
      </c>
      <c r="B80" s="1" t="s">
        <v>334</v>
      </c>
      <c r="C80" s="1" t="s">
        <v>335</v>
      </c>
      <c r="D80" s="1" t="s">
        <v>222</v>
      </c>
      <c r="E80" s="1" t="s">
        <v>223</v>
      </c>
    </row>
    <row r="81" spans="1:5" x14ac:dyDescent="0.25">
      <c r="A81">
        <v>581</v>
      </c>
      <c r="B81" s="1" t="s">
        <v>324</v>
      </c>
      <c r="C81" s="1" t="s">
        <v>325</v>
      </c>
      <c r="D81" s="1" t="s">
        <v>222</v>
      </c>
      <c r="E81" s="1" t="s">
        <v>223</v>
      </c>
    </row>
    <row r="82" spans="1:5" x14ac:dyDescent="0.25">
      <c r="A82">
        <v>582</v>
      </c>
      <c r="B82" s="1" t="s">
        <v>220</v>
      </c>
      <c r="C82" s="1" t="s">
        <v>221</v>
      </c>
      <c r="D82" s="1" t="s">
        <v>222</v>
      </c>
      <c r="E82" s="1" t="s">
        <v>223</v>
      </c>
    </row>
    <row r="83" spans="1:5" x14ac:dyDescent="0.25">
      <c r="A83">
        <v>588</v>
      </c>
      <c r="B83" s="1" t="s">
        <v>228</v>
      </c>
      <c r="C83" s="1" t="s">
        <v>229</v>
      </c>
      <c r="D83" s="1" t="s">
        <v>222</v>
      </c>
      <c r="E83" s="1" t="s">
        <v>223</v>
      </c>
    </row>
    <row r="84" spans="1:5" x14ac:dyDescent="0.25">
      <c r="A84">
        <v>589</v>
      </c>
      <c r="B84" s="1" t="s">
        <v>248</v>
      </c>
      <c r="C84" s="1" t="s">
        <v>249</v>
      </c>
      <c r="D84" s="1" t="s">
        <v>222</v>
      </c>
      <c r="E84" s="1" t="s">
        <v>223</v>
      </c>
    </row>
    <row r="85" spans="1:5" x14ac:dyDescent="0.25">
      <c r="A85">
        <v>590</v>
      </c>
      <c r="B85" s="1" t="s">
        <v>274</v>
      </c>
      <c r="C85" s="1" t="s">
        <v>275</v>
      </c>
      <c r="D85" s="1" t="s">
        <v>222</v>
      </c>
      <c r="E85" s="1" t="s">
        <v>223</v>
      </c>
    </row>
    <row r="86" spans="1:5" x14ac:dyDescent="0.25">
      <c r="A86">
        <v>593</v>
      </c>
      <c r="B86" s="1" t="s">
        <v>330</v>
      </c>
      <c r="C86" s="1" t="s">
        <v>331</v>
      </c>
      <c r="D86" s="1" t="s">
        <v>222</v>
      </c>
      <c r="E86" s="1" t="s">
        <v>223</v>
      </c>
    </row>
    <row r="87" spans="1:5" x14ac:dyDescent="0.25">
      <c r="A87">
        <v>615</v>
      </c>
      <c r="B87" s="1" t="s">
        <v>226</v>
      </c>
      <c r="C87" s="1" t="s">
        <v>227</v>
      </c>
      <c r="D87" s="1" t="s">
        <v>222</v>
      </c>
      <c r="E87" s="1" t="s">
        <v>223</v>
      </c>
    </row>
    <row r="88" spans="1:5" x14ac:dyDescent="0.25">
      <c r="A88">
        <v>617</v>
      </c>
      <c r="B88" s="1" t="s">
        <v>336</v>
      </c>
      <c r="C88" s="1" t="s">
        <v>337</v>
      </c>
      <c r="D88" s="1" t="s">
        <v>222</v>
      </c>
      <c r="E88" s="1" t="s">
        <v>223</v>
      </c>
    </row>
    <row r="89" spans="1:5" x14ac:dyDescent="0.25">
      <c r="A89">
        <v>618</v>
      </c>
      <c r="B89" s="1" t="s">
        <v>234</v>
      </c>
      <c r="C89" s="1" t="s">
        <v>235</v>
      </c>
      <c r="D89" s="1" t="s">
        <v>222</v>
      </c>
      <c r="E89" s="1" t="s">
        <v>223</v>
      </c>
    </row>
    <row r="90" spans="1:5" x14ac:dyDescent="0.25">
      <c r="A90">
        <v>619</v>
      </c>
      <c r="B90" s="1" t="s">
        <v>338</v>
      </c>
      <c r="C90" s="1" t="s">
        <v>339</v>
      </c>
      <c r="D90" s="1" t="s">
        <v>222</v>
      </c>
      <c r="E90" s="1" t="s">
        <v>223</v>
      </c>
    </row>
    <row r="91" spans="1:5" x14ac:dyDescent="0.25">
      <c r="A91">
        <v>626</v>
      </c>
      <c r="B91" s="1" t="s">
        <v>340</v>
      </c>
      <c r="C91" s="1" t="s">
        <v>341</v>
      </c>
      <c r="D91" s="1" t="s">
        <v>222</v>
      </c>
      <c r="E91" s="1" t="s">
        <v>223</v>
      </c>
    </row>
    <row r="92" spans="1:5" x14ac:dyDescent="0.25">
      <c r="A92">
        <v>627</v>
      </c>
      <c r="B92" s="1" t="s">
        <v>304</v>
      </c>
      <c r="C92" s="1" t="s">
        <v>305</v>
      </c>
      <c r="D92" s="1" t="s">
        <v>222</v>
      </c>
      <c r="E92" s="1" t="s">
        <v>223</v>
      </c>
    </row>
    <row r="93" spans="1:5" x14ac:dyDescent="0.25">
      <c r="A93">
        <v>629</v>
      </c>
      <c r="B93" s="1" t="s">
        <v>342</v>
      </c>
      <c r="C93" s="1" t="s">
        <v>343</v>
      </c>
      <c r="D93" s="1" t="s">
        <v>222</v>
      </c>
      <c r="E93" s="1" t="s">
        <v>223</v>
      </c>
    </row>
    <row r="94" spans="1:5" x14ac:dyDescent="0.25">
      <c r="A94">
        <v>643</v>
      </c>
      <c r="B94" s="1" t="s">
        <v>254</v>
      </c>
      <c r="C94" s="1" t="s">
        <v>255</v>
      </c>
      <c r="D94" s="1" t="s">
        <v>222</v>
      </c>
      <c r="E94" s="1" t="s">
        <v>223</v>
      </c>
    </row>
    <row r="95" spans="1:5" x14ac:dyDescent="0.25">
      <c r="A95">
        <v>645</v>
      </c>
      <c r="B95" s="1" t="s">
        <v>252</v>
      </c>
      <c r="C95" s="1" t="s">
        <v>253</v>
      </c>
      <c r="D95" s="1" t="s">
        <v>222</v>
      </c>
      <c r="E95" s="1" t="s">
        <v>223</v>
      </c>
    </row>
    <row r="96" spans="1:5" x14ac:dyDescent="0.25">
      <c r="A96">
        <v>646</v>
      </c>
      <c r="B96" s="1" t="s">
        <v>226</v>
      </c>
      <c r="C96" s="1" t="s">
        <v>227</v>
      </c>
      <c r="D96" s="1" t="s">
        <v>222</v>
      </c>
      <c r="E96" s="1" t="s">
        <v>223</v>
      </c>
    </row>
    <row r="97" spans="1:5" x14ac:dyDescent="0.25">
      <c r="A97">
        <v>649</v>
      </c>
      <c r="B97" s="1" t="s">
        <v>344</v>
      </c>
      <c r="C97" s="1" t="s">
        <v>345</v>
      </c>
      <c r="D97" s="1" t="s">
        <v>222</v>
      </c>
      <c r="E97" s="1" t="s">
        <v>223</v>
      </c>
    </row>
    <row r="98" spans="1:5" x14ac:dyDescent="0.25">
      <c r="A98">
        <v>651</v>
      </c>
      <c r="B98" s="1" t="s">
        <v>238</v>
      </c>
      <c r="C98" s="1" t="s">
        <v>239</v>
      </c>
      <c r="D98" s="1" t="s">
        <v>222</v>
      </c>
      <c r="E98" s="1" t="s">
        <v>223</v>
      </c>
    </row>
    <row r="99" spans="1:5" x14ac:dyDescent="0.25">
      <c r="A99">
        <v>654</v>
      </c>
      <c r="B99" s="1" t="s">
        <v>344</v>
      </c>
      <c r="C99" s="1" t="s">
        <v>345</v>
      </c>
      <c r="D99" s="1" t="s">
        <v>222</v>
      </c>
      <c r="E99" s="1" t="s">
        <v>223</v>
      </c>
    </row>
    <row r="100" spans="1:5" x14ac:dyDescent="0.25">
      <c r="A100">
        <v>656</v>
      </c>
      <c r="B100" s="1" t="s">
        <v>298</v>
      </c>
      <c r="C100" s="1" t="s">
        <v>299</v>
      </c>
      <c r="D100" s="1" t="s">
        <v>222</v>
      </c>
      <c r="E100" s="1" t="s">
        <v>223</v>
      </c>
    </row>
    <row r="101" spans="1:5" x14ac:dyDescent="0.25">
      <c r="A101">
        <v>657</v>
      </c>
      <c r="B101" s="1" t="s">
        <v>346</v>
      </c>
      <c r="C101" s="1" t="s">
        <v>347</v>
      </c>
      <c r="D101" s="1" t="s">
        <v>222</v>
      </c>
      <c r="E101" s="1" t="s">
        <v>223</v>
      </c>
    </row>
    <row r="102" spans="1:5" x14ac:dyDescent="0.25">
      <c r="A102">
        <v>660</v>
      </c>
      <c r="B102" s="1" t="s">
        <v>270</v>
      </c>
      <c r="C102" s="1" t="s">
        <v>271</v>
      </c>
      <c r="D102" s="1" t="s">
        <v>222</v>
      </c>
      <c r="E102" s="1" t="s">
        <v>223</v>
      </c>
    </row>
    <row r="103" spans="1:5" x14ac:dyDescent="0.25">
      <c r="A103">
        <v>661</v>
      </c>
      <c r="B103" s="1" t="s">
        <v>248</v>
      </c>
      <c r="C103" s="1" t="s">
        <v>249</v>
      </c>
      <c r="D103" s="1" t="s">
        <v>222</v>
      </c>
      <c r="E103" s="1" t="s">
        <v>223</v>
      </c>
    </row>
    <row r="104" spans="1:5" x14ac:dyDescent="0.25">
      <c r="A104">
        <v>665</v>
      </c>
      <c r="B104" s="1" t="s">
        <v>298</v>
      </c>
      <c r="C104" s="1" t="s">
        <v>299</v>
      </c>
      <c r="D104" s="1" t="s">
        <v>222</v>
      </c>
      <c r="E104" s="1" t="s">
        <v>223</v>
      </c>
    </row>
    <row r="105" spans="1:5" x14ac:dyDescent="0.25">
      <c r="A105">
        <v>677</v>
      </c>
      <c r="B105" s="1" t="s">
        <v>348</v>
      </c>
      <c r="C105" s="1" t="s">
        <v>349</v>
      </c>
      <c r="D105" s="1" t="s">
        <v>222</v>
      </c>
      <c r="E105" s="1" t="s">
        <v>223</v>
      </c>
    </row>
    <row r="106" spans="1:5" x14ac:dyDescent="0.25">
      <c r="A106">
        <v>680</v>
      </c>
      <c r="B106" s="1" t="s">
        <v>350</v>
      </c>
      <c r="C106" s="1" t="s">
        <v>351</v>
      </c>
      <c r="D106" s="1" t="s">
        <v>222</v>
      </c>
      <c r="E106" s="1" t="s">
        <v>223</v>
      </c>
    </row>
    <row r="107" spans="1:5" x14ac:dyDescent="0.25">
      <c r="A107">
        <v>686</v>
      </c>
      <c r="B107" s="1" t="s">
        <v>224</v>
      </c>
      <c r="C107" s="1" t="s">
        <v>225</v>
      </c>
      <c r="D107" s="1" t="s">
        <v>222</v>
      </c>
      <c r="E107" s="1" t="s">
        <v>223</v>
      </c>
    </row>
    <row r="108" spans="1:5" x14ac:dyDescent="0.25">
      <c r="A108">
        <v>688</v>
      </c>
      <c r="B108" s="1" t="s">
        <v>336</v>
      </c>
      <c r="C108" s="1" t="s">
        <v>337</v>
      </c>
      <c r="D108" s="1" t="s">
        <v>222</v>
      </c>
      <c r="E108" s="1" t="s">
        <v>223</v>
      </c>
    </row>
    <row r="109" spans="1:5" x14ac:dyDescent="0.25">
      <c r="A109">
        <v>693</v>
      </c>
      <c r="B109" s="1" t="s">
        <v>282</v>
      </c>
      <c r="C109" s="1" t="s">
        <v>283</v>
      </c>
      <c r="D109" s="1" t="s">
        <v>222</v>
      </c>
      <c r="E109" s="1" t="s">
        <v>223</v>
      </c>
    </row>
    <row r="110" spans="1:5" x14ac:dyDescent="0.25">
      <c r="A110">
        <v>697</v>
      </c>
      <c r="B110" s="1" t="s">
        <v>310</v>
      </c>
      <c r="C110" s="1" t="s">
        <v>311</v>
      </c>
      <c r="D110" s="1" t="s">
        <v>222</v>
      </c>
      <c r="E110" s="1" t="s">
        <v>223</v>
      </c>
    </row>
    <row r="111" spans="1:5" x14ac:dyDescent="0.25">
      <c r="A111">
        <v>700</v>
      </c>
      <c r="B111" s="1" t="s">
        <v>352</v>
      </c>
      <c r="C111" s="1" t="s">
        <v>353</v>
      </c>
      <c r="D111" s="1" t="s">
        <v>222</v>
      </c>
      <c r="E111" s="1" t="s">
        <v>223</v>
      </c>
    </row>
    <row r="112" spans="1:5" x14ac:dyDescent="0.25">
      <c r="A112">
        <v>705</v>
      </c>
      <c r="B112" s="1" t="s">
        <v>354</v>
      </c>
      <c r="C112" s="1" t="s">
        <v>355</v>
      </c>
      <c r="D112" s="1" t="s">
        <v>222</v>
      </c>
      <c r="E112" s="1" t="s">
        <v>223</v>
      </c>
    </row>
    <row r="113" spans="1:5" x14ac:dyDescent="0.25">
      <c r="A113">
        <v>706</v>
      </c>
      <c r="B113" s="1" t="s">
        <v>356</v>
      </c>
      <c r="C113" s="1" t="s">
        <v>357</v>
      </c>
      <c r="D113" s="1" t="s">
        <v>222</v>
      </c>
      <c r="E113" s="1" t="s">
        <v>223</v>
      </c>
    </row>
    <row r="114" spans="1:5" x14ac:dyDescent="0.25">
      <c r="A114">
        <v>710</v>
      </c>
      <c r="B114" s="1" t="s">
        <v>358</v>
      </c>
      <c r="C114" s="1" t="s">
        <v>359</v>
      </c>
      <c r="D114" s="1" t="s">
        <v>222</v>
      </c>
      <c r="E114" s="1" t="s">
        <v>223</v>
      </c>
    </row>
    <row r="115" spans="1:5" x14ac:dyDescent="0.25">
      <c r="A115">
        <v>718</v>
      </c>
      <c r="B115" s="1" t="s">
        <v>274</v>
      </c>
      <c r="C115" s="1" t="s">
        <v>275</v>
      </c>
      <c r="D115" s="1" t="s">
        <v>222</v>
      </c>
      <c r="E115" s="1" t="s">
        <v>223</v>
      </c>
    </row>
    <row r="116" spans="1:5" x14ac:dyDescent="0.25">
      <c r="A116">
        <v>720</v>
      </c>
      <c r="B116" s="1" t="s">
        <v>228</v>
      </c>
      <c r="C116" s="1" t="s">
        <v>229</v>
      </c>
      <c r="D116" s="1" t="s">
        <v>222</v>
      </c>
      <c r="E116" s="1" t="s">
        <v>223</v>
      </c>
    </row>
    <row r="117" spans="1:5" x14ac:dyDescent="0.25">
      <c r="A117">
        <v>723</v>
      </c>
      <c r="B117" s="1" t="s">
        <v>360</v>
      </c>
      <c r="C117" s="1" t="s">
        <v>361</v>
      </c>
      <c r="D117" s="1" t="s">
        <v>222</v>
      </c>
      <c r="E117" s="1" t="s">
        <v>223</v>
      </c>
    </row>
    <row r="118" spans="1:5" x14ac:dyDescent="0.25">
      <c r="A118">
        <v>739</v>
      </c>
      <c r="B118" s="1" t="s">
        <v>362</v>
      </c>
      <c r="C118" s="1" t="s">
        <v>363</v>
      </c>
      <c r="D118" s="1" t="s">
        <v>222</v>
      </c>
      <c r="E118" s="1" t="s">
        <v>223</v>
      </c>
    </row>
    <row r="119" spans="1:5" x14ac:dyDescent="0.25">
      <c r="A119">
        <v>743</v>
      </c>
      <c r="B119" s="1" t="s">
        <v>364</v>
      </c>
      <c r="C119" s="1" t="s">
        <v>365</v>
      </c>
      <c r="D119" s="1" t="s">
        <v>222</v>
      </c>
      <c r="E119" s="1" t="s">
        <v>223</v>
      </c>
    </row>
    <row r="120" spans="1:5" x14ac:dyDescent="0.25">
      <c r="A120">
        <v>748</v>
      </c>
      <c r="B120" s="1" t="s">
        <v>228</v>
      </c>
      <c r="C120" s="1" t="s">
        <v>229</v>
      </c>
      <c r="D120" s="1" t="s">
        <v>222</v>
      </c>
      <c r="E120" s="1" t="s">
        <v>223</v>
      </c>
    </row>
    <row r="121" spans="1:5" x14ac:dyDescent="0.25">
      <c r="A121">
        <v>759</v>
      </c>
      <c r="B121" s="1" t="s">
        <v>366</v>
      </c>
      <c r="C121" s="1" t="s">
        <v>367</v>
      </c>
      <c r="D121" s="1" t="s">
        <v>222</v>
      </c>
      <c r="E121" s="1" t="s">
        <v>223</v>
      </c>
    </row>
    <row r="122" spans="1:5" x14ac:dyDescent="0.25">
      <c r="A122">
        <v>768</v>
      </c>
      <c r="B122" s="1" t="s">
        <v>368</v>
      </c>
      <c r="C122" s="1" t="s">
        <v>369</v>
      </c>
      <c r="D122" s="1" t="s">
        <v>222</v>
      </c>
      <c r="E122" s="1" t="s">
        <v>223</v>
      </c>
    </row>
    <row r="123" spans="1:5" x14ac:dyDescent="0.25">
      <c r="A123">
        <v>774</v>
      </c>
      <c r="B123" s="1" t="s">
        <v>254</v>
      </c>
      <c r="C123" s="1" t="s">
        <v>255</v>
      </c>
      <c r="D123" s="1" t="s">
        <v>222</v>
      </c>
      <c r="E123" s="1" t="s">
        <v>223</v>
      </c>
    </row>
    <row r="124" spans="1:5" x14ac:dyDescent="0.25">
      <c r="A124">
        <v>780</v>
      </c>
      <c r="B124" s="1" t="s">
        <v>250</v>
      </c>
      <c r="C124" s="1" t="s">
        <v>251</v>
      </c>
      <c r="D124" s="1" t="s">
        <v>222</v>
      </c>
      <c r="E124" s="1" t="s">
        <v>223</v>
      </c>
    </row>
    <row r="125" spans="1:5" x14ac:dyDescent="0.25">
      <c r="A125">
        <v>794</v>
      </c>
      <c r="B125" s="1" t="s">
        <v>230</v>
      </c>
      <c r="C125" s="1" t="s">
        <v>231</v>
      </c>
      <c r="D125" s="1" t="s">
        <v>222</v>
      </c>
      <c r="E125" s="1" t="s">
        <v>223</v>
      </c>
    </row>
    <row r="126" spans="1:5" x14ac:dyDescent="0.25">
      <c r="A126">
        <v>799</v>
      </c>
      <c r="B126" s="1" t="s">
        <v>350</v>
      </c>
      <c r="C126" s="1" t="s">
        <v>351</v>
      </c>
      <c r="D126" s="1" t="s">
        <v>222</v>
      </c>
      <c r="E126" s="1" t="s">
        <v>223</v>
      </c>
    </row>
    <row r="127" spans="1:5" x14ac:dyDescent="0.25">
      <c r="A127">
        <v>804</v>
      </c>
      <c r="B127" s="1" t="s">
        <v>370</v>
      </c>
      <c r="C127" s="1" t="s">
        <v>371</v>
      </c>
      <c r="D127" s="1" t="s">
        <v>222</v>
      </c>
      <c r="E127" s="1" t="s">
        <v>223</v>
      </c>
    </row>
    <row r="128" spans="1:5" x14ac:dyDescent="0.25">
      <c r="A128">
        <v>811</v>
      </c>
      <c r="B128" s="1" t="s">
        <v>306</v>
      </c>
      <c r="C128" s="1" t="s">
        <v>307</v>
      </c>
      <c r="D128" s="1" t="s">
        <v>222</v>
      </c>
      <c r="E128" s="1" t="s">
        <v>223</v>
      </c>
    </row>
    <row r="129" spans="1:5" x14ac:dyDescent="0.25">
      <c r="A129">
        <v>816</v>
      </c>
      <c r="B129" s="1" t="s">
        <v>372</v>
      </c>
      <c r="C129" s="1" t="s">
        <v>373</v>
      </c>
      <c r="D129" s="1" t="s">
        <v>222</v>
      </c>
      <c r="E129" s="1" t="s">
        <v>223</v>
      </c>
    </row>
    <row r="130" spans="1:5" x14ac:dyDescent="0.25">
      <c r="A130">
        <v>819</v>
      </c>
      <c r="B130" s="1" t="s">
        <v>374</v>
      </c>
      <c r="C130" s="1" t="s">
        <v>375</v>
      </c>
      <c r="D130" s="1" t="s">
        <v>222</v>
      </c>
      <c r="E130" s="1" t="s">
        <v>223</v>
      </c>
    </row>
    <row r="131" spans="1:5" x14ac:dyDescent="0.25">
      <c r="A131">
        <v>820</v>
      </c>
      <c r="B131" s="1" t="s">
        <v>292</v>
      </c>
      <c r="C131" s="1" t="s">
        <v>293</v>
      </c>
      <c r="D131" s="1" t="s">
        <v>222</v>
      </c>
      <c r="E131" s="1" t="s">
        <v>223</v>
      </c>
    </row>
    <row r="132" spans="1:5" x14ac:dyDescent="0.25">
      <c r="A132">
        <v>822</v>
      </c>
      <c r="B132" s="1" t="s">
        <v>246</v>
      </c>
      <c r="C132" s="1" t="s">
        <v>247</v>
      </c>
      <c r="D132" s="1" t="s">
        <v>222</v>
      </c>
      <c r="E132" s="1" t="s">
        <v>223</v>
      </c>
    </row>
    <row r="133" spans="1:5" x14ac:dyDescent="0.25">
      <c r="A133">
        <v>837</v>
      </c>
      <c r="B133" s="1" t="s">
        <v>314</v>
      </c>
      <c r="C133" s="1" t="s">
        <v>315</v>
      </c>
      <c r="D133" s="1" t="s">
        <v>222</v>
      </c>
      <c r="E133" s="1" t="s">
        <v>223</v>
      </c>
    </row>
    <row r="134" spans="1:5" x14ac:dyDescent="0.25">
      <c r="A134">
        <v>844</v>
      </c>
      <c r="B134" s="1" t="s">
        <v>252</v>
      </c>
      <c r="C134" s="1" t="s">
        <v>253</v>
      </c>
      <c r="D134" s="1" t="s">
        <v>222</v>
      </c>
      <c r="E134" s="1" t="s">
        <v>223</v>
      </c>
    </row>
    <row r="135" spans="1:5" x14ac:dyDescent="0.25">
      <c r="A135">
        <v>849</v>
      </c>
      <c r="B135" s="1" t="s">
        <v>280</v>
      </c>
      <c r="C135" s="1" t="s">
        <v>281</v>
      </c>
      <c r="D135" s="1" t="s">
        <v>222</v>
      </c>
      <c r="E135" s="1" t="s">
        <v>223</v>
      </c>
    </row>
    <row r="136" spans="1:5" x14ac:dyDescent="0.25">
      <c r="A136">
        <v>854</v>
      </c>
      <c r="B136" s="1" t="s">
        <v>358</v>
      </c>
      <c r="C136" s="1" t="s">
        <v>359</v>
      </c>
      <c r="D136" s="1" t="s">
        <v>222</v>
      </c>
      <c r="E136" s="1" t="s">
        <v>223</v>
      </c>
    </row>
    <row r="137" spans="1:5" x14ac:dyDescent="0.25">
      <c r="A137">
        <v>862</v>
      </c>
      <c r="B137" s="1" t="s">
        <v>350</v>
      </c>
      <c r="C137" s="1" t="s">
        <v>351</v>
      </c>
      <c r="D137" s="1" t="s">
        <v>222</v>
      </c>
      <c r="E137" s="1" t="s">
        <v>223</v>
      </c>
    </row>
    <row r="138" spans="1:5" x14ac:dyDescent="0.25">
      <c r="A138">
        <v>864</v>
      </c>
      <c r="B138" s="1" t="s">
        <v>352</v>
      </c>
      <c r="C138" s="1" t="s">
        <v>353</v>
      </c>
      <c r="D138" s="1" t="s">
        <v>222</v>
      </c>
      <c r="E138" s="1" t="s">
        <v>223</v>
      </c>
    </row>
    <row r="139" spans="1:5" x14ac:dyDescent="0.25">
      <c r="A139">
        <v>865</v>
      </c>
      <c r="B139" s="1" t="s">
        <v>294</v>
      </c>
      <c r="C139" s="1" t="s">
        <v>295</v>
      </c>
      <c r="D139" s="1" t="s">
        <v>222</v>
      </c>
      <c r="E139" s="1" t="s">
        <v>223</v>
      </c>
    </row>
    <row r="140" spans="1:5" x14ac:dyDescent="0.25">
      <c r="A140">
        <v>866</v>
      </c>
      <c r="B140" s="1" t="s">
        <v>374</v>
      </c>
      <c r="C140" s="1" t="s">
        <v>375</v>
      </c>
      <c r="D140" s="1" t="s">
        <v>222</v>
      </c>
      <c r="E140" s="1" t="s">
        <v>223</v>
      </c>
    </row>
    <row r="141" spans="1:5" x14ac:dyDescent="0.25">
      <c r="A141">
        <v>872</v>
      </c>
      <c r="B141" s="1" t="s">
        <v>376</v>
      </c>
      <c r="C141" s="1" t="s">
        <v>377</v>
      </c>
      <c r="D141" s="1" t="s">
        <v>222</v>
      </c>
      <c r="E141" s="1" t="s">
        <v>223</v>
      </c>
    </row>
    <row r="142" spans="1:5" x14ac:dyDescent="0.25">
      <c r="A142">
        <v>881</v>
      </c>
      <c r="B142" s="1" t="s">
        <v>318</v>
      </c>
      <c r="C142" s="1" t="s">
        <v>319</v>
      </c>
      <c r="D142" s="1" t="s">
        <v>222</v>
      </c>
      <c r="E142" s="1" t="s">
        <v>223</v>
      </c>
    </row>
    <row r="143" spans="1:5" x14ac:dyDescent="0.25">
      <c r="A143">
        <v>882</v>
      </c>
      <c r="B143" s="1" t="s">
        <v>362</v>
      </c>
      <c r="C143" s="1" t="s">
        <v>363</v>
      </c>
      <c r="D143" s="1" t="s">
        <v>222</v>
      </c>
      <c r="E143" s="1" t="s">
        <v>223</v>
      </c>
    </row>
    <row r="144" spans="1:5" x14ac:dyDescent="0.25">
      <c r="A144">
        <v>883</v>
      </c>
      <c r="B144" s="1" t="s">
        <v>292</v>
      </c>
      <c r="C144" s="1" t="s">
        <v>293</v>
      </c>
      <c r="D144" s="1" t="s">
        <v>222</v>
      </c>
      <c r="E144" s="1" t="s">
        <v>223</v>
      </c>
    </row>
    <row r="145" spans="1:5" x14ac:dyDescent="0.25">
      <c r="A145">
        <v>888</v>
      </c>
      <c r="B145" s="1" t="s">
        <v>312</v>
      </c>
      <c r="C145" s="1" t="s">
        <v>313</v>
      </c>
      <c r="D145" s="1" t="s">
        <v>222</v>
      </c>
      <c r="E145" s="1" t="s">
        <v>223</v>
      </c>
    </row>
    <row r="146" spans="1:5" x14ac:dyDescent="0.25">
      <c r="A146">
        <v>903</v>
      </c>
      <c r="B146" s="1" t="s">
        <v>232</v>
      </c>
      <c r="C146" s="1" t="s">
        <v>233</v>
      </c>
      <c r="D146" s="1" t="s">
        <v>222</v>
      </c>
      <c r="E146" s="1" t="s">
        <v>223</v>
      </c>
    </row>
    <row r="147" spans="1:5" x14ac:dyDescent="0.25">
      <c r="A147">
        <v>904</v>
      </c>
      <c r="B147" s="1" t="s">
        <v>378</v>
      </c>
      <c r="C147" s="1" t="s">
        <v>379</v>
      </c>
      <c r="D147" s="1" t="s">
        <v>222</v>
      </c>
      <c r="E147" s="1" t="s">
        <v>223</v>
      </c>
    </row>
    <row r="148" spans="1:5" x14ac:dyDescent="0.25">
      <c r="A148">
        <v>907</v>
      </c>
      <c r="B148" s="1" t="s">
        <v>236</v>
      </c>
      <c r="C148" s="1" t="s">
        <v>237</v>
      </c>
      <c r="D148" s="1" t="s">
        <v>222</v>
      </c>
      <c r="E148" s="1" t="s">
        <v>223</v>
      </c>
    </row>
    <row r="149" spans="1:5" x14ac:dyDescent="0.25">
      <c r="A149">
        <v>908</v>
      </c>
      <c r="B149" s="1" t="s">
        <v>246</v>
      </c>
      <c r="C149" s="1" t="s">
        <v>247</v>
      </c>
      <c r="D149" s="1" t="s">
        <v>222</v>
      </c>
      <c r="E149" s="1" t="s">
        <v>223</v>
      </c>
    </row>
    <row r="150" spans="1:5" x14ac:dyDescent="0.25">
      <c r="A150">
        <v>935</v>
      </c>
      <c r="B150" s="1" t="s">
        <v>380</v>
      </c>
      <c r="C150" s="1" t="s">
        <v>381</v>
      </c>
      <c r="D150" s="1" t="s">
        <v>222</v>
      </c>
      <c r="E150" s="1" t="s">
        <v>223</v>
      </c>
    </row>
    <row r="151" spans="1:5" x14ac:dyDescent="0.25">
      <c r="A151">
        <v>951</v>
      </c>
      <c r="B151" s="1" t="s">
        <v>264</v>
      </c>
      <c r="C151" s="1" t="s">
        <v>265</v>
      </c>
      <c r="D151" s="1" t="s">
        <v>222</v>
      </c>
      <c r="E151" s="1" t="s">
        <v>223</v>
      </c>
    </row>
    <row r="152" spans="1:5" x14ac:dyDescent="0.25">
      <c r="A152">
        <v>954</v>
      </c>
      <c r="B152" s="1" t="s">
        <v>382</v>
      </c>
      <c r="C152" s="1" t="s">
        <v>383</v>
      </c>
      <c r="D152" s="1" t="s">
        <v>222</v>
      </c>
      <c r="E152" s="1" t="s">
        <v>223</v>
      </c>
    </row>
    <row r="153" spans="1:5" x14ac:dyDescent="0.25">
      <c r="A153">
        <v>955</v>
      </c>
      <c r="B153" s="1" t="s">
        <v>304</v>
      </c>
      <c r="C153" s="1" t="s">
        <v>305</v>
      </c>
      <c r="D153" s="1" t="s">
        <v>222</v>
      </c>
      <c r="E153" s="1" t="s">
        <v>223</v>
      </c>
    </row>
    <row r="154" spans="1:5" x14ac:dyDescent="0.25">
      <c r="A154">
        <v>966</v>
      </c>
      <c r="B154" s="1" t="s">
        <v>334</v>
      </c>
      <c r="C154" s="1" t="s">
        <v>335</v>
      </c>
      <c r="D154" s="1" t="s">
        <v>222</v>
      </c>
      <c r="E154" s="1" t="s">
        <v>223</v>
      </c>
    </row>
    <row r="155" spans="1:5" x14ac:dyDescent="0.25">
      <c r="A155">
        <v>970</v>
      </c>
      <c r="B155" s="1" t="s">
        <v>220</v>
      </c>
      <c r="C155" s="1" t="s">
        <v>221</v>
      </c>
      <c r="D155" s="1" t="s">
        <v>222</v>
      </c>
      <c r="E155" s="1" t="s">
        <v>223</v>
      </c>
    </row>
    <row r="156" spans="1:5" x14ac:dyDescent="0.25">
      <c r="A156">
        <v>975</v>
      </c>
      <c r="B156" s="1" t="s">
        <v>294</v>
      </c>
      <c r="C156" s="1" t="s">
        <v>295</v>
      </c>
      <c r="D156" s="1" t="s">
        <v>222</v>
      </c>
      <c r="E156" s="1" t="s">
        <v>223</v>
      </c>
    </row>
    <row r="157" spans="1:5" x14ac:dyDescent="0.25">
      <c r="A157">
        <v>986</v>
      </c>
      <c r="B157" s="1" t="s">
        <v>304</v>
      </c>
      <c r="C157" s="1" t="s">
        <v>305</v>
      </c>
      <c r="D157" s="1" t="s">
        <v>222</v>
      </c>
      <c r="E157" s="1" t="s">
        <v>223</v>
      </c>
    </row>
    <row r="158" spans="1:5" x14ac:dyDescent="0.25">
      <c r="A158">
        <v>997</v>
      </c>
      <c r="B158" s="1" t="s">
        <v>250</v>
      </c>
      <c r="C158" s="1" t="s">
        <v>251</v>
      </c>
      <c r="D158" s="1" t="s">
        <v>222</v>
      </c>
      <c r="E158" s="1" t="s">
        <v>223</v>
      </c>
    </row>
    <row r="159" spans="1:5" x14ac:dyDescent="0.25">
      <c r="A159">
        <v>7</v>
      </c>
      <c r="B159" s="1" t="s">
        <v>300</v>
      </c>
      <c r="C159" s="1" t="s">
        <v>301</v>
      </c>
      <c r="D159" s="1" t="s">
        <v>222</v>
      </c>
      <c r="E159" s="1" t="s">
        <v>384</v>
      </c>
    </row>
    <row r="160" spans="1:5" x14ac:dyDescent="0.25">
      <c r="A160">
        <v>11</v>
      </c>
      <c r="B160" s="1" t="s">
        <v>234</v>
      </c>
      <c r="C160" s="1" t="s">
        <v>235</v>
      </c>
      <c r="D160" s="1" t="s">
        <v>222</v>
      </c>
      <c r="E160" s="1" t="s">
        <v>384</v>
      </c>
    </row>
    <row r="161" spans="1:5" x14ac:dyDescent="0.25">
      <c r="A161">
        <v>15</v>
      </c>
      <c r="B161" s="1" t="s">
        <v>385</v>
      </c>
      <c r="C161" s="1" t="s">
        <v>386</v>
      </c>
      <c r="D161" s="1" t="s">
        <v>222</v>
      </c>
      <c r="E161" s="1" t="s">
        <v>384</v>
      </c>
    </row>
    <row r="162" spans="1:5" x14ac:dyDescent="0.25">
      <c r="A162">
        <v>16</v>
      </c>
      <c r="B162" s="1" t="s">
        <v>232</v>
      </c>
      <c r="C162" s="1" t="s">
        <v>233</v>
      </c>
      <c r="D162" s="1" t="s">
        <v>222</v>
      </c>
      <c r="E162" s="1" t="s">
        <v>384</v>
      </c>
    </row>
    <row r="163" spans="1:5" x14ac:dyDescent="0.25">
      <c r="A163">
        <v>22</v>
      </c>
      <c r="B163" s="1" t="s">
        <v>332</v>
      </c>
      <c r="C163" s="1" t="s">
        <v>333</v>
      </c>
      <c r="D163" s="1" t="s">
        <v>222</v>
      </c>
      <c r="E163" s="1" t="s">
        <v>384</v>
      </c>
    </row>
    <row r="164" spans="1:5" x14ac:dyDescent="0.25">
      <c r="A164">
        <v>25</v>
      </c>
      <c r="B164" s="1" t="s">
        <v>310</v>
      </c>
      <c r="C164" s="1" t="s">
        <v>311</v>
      </c>
      <c r="D164" s="1" t="s">
        <v>222</v>
      </c>
      <c r="E164" s="1" t="s">
        <v>384</v>
      </c>
    </row>
    <row r="165" spans="1:5" x14ac:dyDescent="0.25">
      <c r="A165">
        <v>34</v>
      </c>
      <c r="B165" s="1" t="s">
        <v>314</v>
      </c>
      <c r="C165" s="1" t="s">
        <v>315</v>
      </c>
      <c r="D165" s="1" t="s">
        <v>222</v>
      </c>
      <c r="E165" s="1" t="s">
        <v>384</v>
      </c>
    </row>
    <row r="166" spans="1:5" x14ac:dyDescent="0.25">
      <c r="A166">
        <v>37</v>
      </c>
      <c r="B166" s="1" t="s">
        <v>387</v>
      </c>
      <c r="C166" s="1" t="s">
        <v>388</v>
      </c>
      <c r="D166" s="1" t="s">
        <v>222</v>
      </c>
      <c r="E166" s="1" t="s">
        <v>384</v>
      </c>
    </row>
    <row r="167" spans="1:5" x14ac:dyDescent="0.25">
      <c r="A167">
        <v>38</v>
      </c>
      <c r="B167" s="1" t="s">
        <v>252</v>
      </c>
      <c r="C167" s="1" t="s">
        <v>253</v>
      </c>
      <c r="D167" s="1" t="s">
        <v>222</v>
      </c>
      <c r="E167" s="1" t="s">
        <v>384</v>
      </c>
    </row>
    <row r="168" spans="1:5" x14ac:dyDescent="0.25">
      <c r="A168">
        <v>39</v>
      </c>
      <c r="B168" s="1" t="s">
        <v>389</v>
      </c>
      <c r="C168" s="1" t="s">
        <v>390</v>
      </c>
      <c r="D168" s="1" t="s">
        <v>222</v>
      </c>
      <c r="E168" s="1" t="s">
        <v>384</v>
      </c>
    </row>
    <row r="169" spans="1:5" x14ac:dyDescent="0.25">
      <c r="A169">
        <v>44</v>
      </c>
      <c r="B169" s="1" t="s">
        <v>316</v>
      </c>
      <c r="C169" s="1" t="s">
        <v>317</v>
      </c>
      <c r="D169" s="1" t="s">
        <v>222</v>
      </c>
      <c r="E169" s="1" t="s">
        <v>384</v>
      </c>
    </row>
    <row r="170" spans="1:5" x14ac:dyDescent="0.25">
      <c r="A170">
        <v>51</v>
      </c>
      <c r="B170" s="1" t="s">
        <v>391</v>
      </c>
      <c r="C170" s="1" t="s">
        <v>392</v>
      </c>
      <c r="D170" s="1" t="s">
        <v>222</v>
      </c>
      <c r="E170" s="1" t="s">
        <v>384</v>
      </c>
    </row>
    <row r="171" spans="1:5" x14ac:dyDescent="0.25">
      <c r="A171">
        <v>54</v>
      </c>
      <c r="B171" s="1" t="s">
        <v>389</v>
      </c>
      <c r="C171" s="1" t="s">
        <v>390</v>
      </c>
      <c r="D171" s="1" t="s">
        <v>222</v>
      </c>
      <c r="E171" s="1" t="s">
        <v>384</v>
      </c>
    </row>
    <row r="172" spans="1:5" x14ac:dyDescent="0.25">
      <c r="A172">
        <v>56</v>
      </c>
      <c r="B172" s="1" t="s">
        <v>238</v>
      </c>
      <c r="C172" s="1" t="s">
        <v>239</v>
      </c>
      <c r="D172" s="1" t="s">
        <v>222</v>
      </c>
      <c r="E172" s="1" t="s">
        <v>384</v>
      </c>
    </row>
    <row r="173" spans="1:5" x14ac:dyDescent="0.25">
      <c r="A173">
        <v>66</v>
      </c>
      <c r="B173" s="1" t="s">
        <v>256</v>
      </c>
      <c r="C173" s="1" t="s">
        <v>257</v>
      </c>
      <c r="D173" s="1" t="s">
        <v>222</v>
      </c>
      <c r="E173" s="1" t="s">
        <v>384</v>
      </c>
    </row>
    <row r="174" spans="1:5" x14ac:dyDescent="0.25">
      <c r="A174">
        <v>81</v>
      </c>
      <c r="B174" s="1" t="s">
        <v>356</v>
      </c>
      <c r="C174" s="1" t="s">
        <v>357</v>
      </c>
      <c r="D174" s="1" t="s">
        <v>222</v>
      </c>
      <c r="E174" s="1" t="s">
        <v>384</v>
      </c>
    </row>
    <row r="175" spans="1:5" x14ac:dyDescent="0.25">
      <c r="A175">
        <v>83</v>
      </c>
      <c r="B175" s="1" t="s">
        <v>290</v>
      </c>
      <c r="C175" s="1" t="s">
        <v>291</v>
      </c>
      <c r="D175" s="1" t="s">
        <v>222</v>
      </c>
      <c r="E175" s="1" t="s">
        <v>384</v>
      </c>
    </row>
    <row r="176" spans="1:5" x14ac:dyDescent="0.25">
      <c r="A176">
        <v>92</v>
      </c>
      <c r="B176" s="1" t="s">
        <v>374</v>
      </c>
      <c r="C176" s="1" t="s">
        <v>375</v>
      </c>
      <c r="D176" s="1" t="s">
        <v>222</v>
      </c>
      <c r="E176" s="1" t="s">
        <v>384</v>
      </c>
    </row>
    <row r="177" spans="1:5" x14ac:dyDescent="0.25">
      <c r="A177">
        <v>97</v>
      </c>
      <c r="B177" s="1" t="s">
        <v>224</v>
      </c>
      <c r="C177" s="1" t="s">
        <v>225</v>
      </c>
      <c r="D177" s="1" t="s">
        <v>222</v>
      </c>
      <c r="E177" s="1" t="s">
        <v>384</v>
      </c>
    </row>
    <row r="178" spans="1:5" x14ac:dyDescent="0.25">
      <c r="A178">
        <v>98</v>
      </c>
      <c r="B178" s="1" t="s">
        <v>238</v>
      </c>
      <c r="C178" s="1" t="s">
        <v>239</v>
      </c>
      <c r="D178" s="1" t="s">
        <v>222</v>
      </c>
      <c r="E178" s="1" t="s">
        <v>384</v>
      </c>
    </row>
    <row r="179" spans="1:5" x14ac:dyDescent="0.25">
      <c r="A179">
        <v>119</v>
      </c>
      <c r="B179" s="1" t="s">
        <v>288</v>
      </c>
      <c r="C179" s="1" t="s">
        <v>289</v>
      </c>
      <c r="D179" s="1" t="s">
        <v>222</v>
      </c>
      <c r="E179" s="1" t="s">
        <v>384</v>
      </c>
    </row>
    <row r="180" spans="1:5" x14ac:dyDescent="0.25">
      <c r="A180">
        <v>126</v>
      </c>
      <c r="B180" s="1" t="s">
        <v>352</v>
      </c>
      <c r="C180" s="1" t="s">
        <v>353</v>
      </c>
      <c r="D180" s="1" t="s">
        <v>222</v>
      </c>
      <c r="E180" s="1" t="s">
        <v>384</v>
      </c>
    </row>
    <row r="181" spans="1:5" x14ac:dyDescent="0.25">
      <c r="A181">
        <v>131</v>
      </c>
      <c r="B181" s="1" t="s">
        <v>298</v>
      </c>
      <c r="C181" s="1" t="s">
        <v>299</v>
      </c>
      <c r="D181" s="1" t="s">
        <v>222</v>
      </c>
      <c r="E181" s="1" t="s">
        <v>384</v>
      </c>
    </row>
    <row r="182" spans="1:5" x14ac:dyDescent="0.25">
      <c r="A182">
        <v>135</v>
      </c>
      <c r="B182" s="1" t="s">
        <v>393</v>
      </c>
      <c r="C182" s="1" t="s">
        <v>394</v>
      </c>
      <c r="D182" s="1" t="s">
        <v>222</v>
      </c>
      <c r="E182" s="1" t="s">
        <v>384</v>
      </c>
    </row>
    <row r="183" spans="1:5" x14ac:dyDescent="0.25">
      <c r="A183">
        <v>151</v>
      </c>
      <c r="B183" s="1" t="s">
        <v>370</v>
      </c>
      <c r="C183" s="1" t="s">
        <v>371</v>
      </c>
      <c r="D183" s="1" t="s">
        <v>222</v>
      </c>
      <c r="E183" s="1" t="s">
        <v>384</v>
      </c>
    </row>
    <row r="184" spans="1:5" x14ac:dyDescent="0.25">
      <c r="A184">
        <v>157</v>
      </c>
      <c r="B184" s="1" t="s">
        <v>284</v>
      </c>
      <c r="C184" s="1" t="s">
        <v>285</v>
      </c>
      <c r="D184" s="1" t="s">
        <v>222</v>
      </c>
      <c r="E184" s="1" t="s">
        <v>384</v>
      </c>
    </row>
    <row r="185" spans="1:5" x14ac:dyDescent="0.25">
      <c r="A185">
        <v>159</v>
      </c>
      <c r="B185" s="1" t="s">
        <v>320</v>
      </c>
      <c r="C185" s="1" t="s">
        <v>321</v>
      </c>
      <c r="D185" s="1" t="s">
        <v>222</v>
      </c>
      <c r="E185" s="1" t="s">
        <v>384</v>
      </c>
    </row>
    <row r="186" spans="1:5" x14ac:dyDescent="0.25">
      <c r="A186">
        <v>183</v>
      </c>
      <c r="B186" s="1" t="s">
        <v>364</v>
      </c>
      <c r="C186" s="1" t="s">
        <v>365</v>
      </c>
      <c r="D186" s="1" t="s">
        <v>222</v>
      </c>
      <c r="E186" s="1" t="s">
        <v>384</v>
      </c>
    </row>
    <row r="187" spans="1:5" x14ac:dyDescent="0.25">
      <c r="A187">
        <v>184</v>
      </c>
      <c r="B187" s="1" t="s">
        <v>264</v>
      </c>
      <c r="C187" s="1" t="s">
        <v>265</v>
      </c>
      <c r="D187" s="1" t="s">
        <v>222</v>
      </c>
      <c r="E187" s="1" t="s">
        <v>384</v>
      </c>
    </row>
    <row r="188" spans="1:5" x14ac:dyDescent="0.25">
      <c r="A188">
        <v>200</v>
      </c>
      <c r="B188" s="1" t="s">
        <v>252</v>
      </c>
      <c r="C188" s="1" t="s">
        <v>253</v>
      </c>
      <c r="D188" s="1" t="s">
        <v>222</v>
      </c>
      <c r="E188" s="1" t="s">
        <v>384</v>
      </c>
    </row>
    <row r="189" spans="1:5" x14ac:dyDescent="0.25">
      <c r="A189">
        <v>210</v>
      </c>
      <c r="B189" s="1" t="s">
        <v>278</v>
      </c>
      <c r="C189" s="1" t="s">
        <v>279</v>
      </c>
      <c r="D189" s="1" t="s">
        <v>222</v>
      </c>
      <c r="E189" s="1" t="s">
        <v>384</v>
      </c>
    </row>
    <row r="190" spans="1:5" x14ac:dyDescent="0.25">
      <c r="A190">
        <v>216</v>
      </c>
      <c r="B190" s="1" t="s">
        <v>232</v>
      </c>
      <c r="C190" s="1" t="s">
        <v>233</v>
      </c>
      <c r="D190" s="1" t="s">
        <v>222</v>
      </c>
      <c r="E190" s="1" t="s">
        <v>384</v>
      </c>
    </row>
    <row r="191" spans="1:5" x14ac:dyDescent="0.25">
      <c r="A191">
        <v>221</v>
      </c>
      <c r="B191" s="1" t="s">
        <v>316</v>
      </c>
      <c r="C191" s="1" t="s">
        <v>317</v>
      </c>
      <c r="D191" s="1" t="s">
        <v>222</v>
      </c>
      <c r="E191" s="1" t="s">
        <v>384</v>
      </c>
    </row>
    <row r="192" spans="1:5" x14ac:dyDescent="0.25">
      <c r="A192">
        <v>229</v>
      </c>
      <c r="B192" s="1" t="s">
        <v>248</v>
      </c>
      <c r="C192" s="1" t="s">
        <v>249</v>
      </c>
      <c r="D192" s="1" t="s">
        <v>222</v>
      </c>
      <c r="E192" s="1" t="s">
        <v>384</v>
      </c>
    </row>
    <row r="193" spans="1:5" x14ac:dyDescent="0.25">
      <c r="A193">
        <v>232</v>
      </c>
      <c r="B193" s="1" t="s">
        <v>240</v>
      </c>
      <c r="C193" s="1" t="s">
        <v>241</v>
      </c>
      <c r="D193" s="1" t="s">
        <v>222</v>
      </c>
      <c r="E193" s="1" t="s">
        <v>384</v>
      </c>
    </row>
    <row r="194" spans="1:5" x14ac:dyDescent="0.25">
      <c r="A194">
        <v>233</v>
      </c>
      <c r="B194" s="1" t="s">
        <v>395</v>
      </c>
      <c r="C194" s="1" t="s">
        <v>396</v>
      </c>
      <c r="D194" s="1" t="s">
        <v>222</v>
      </c>
      <c r="E194" s="1" t="s">
        <v>384</v>
      </c>
    </row>
    <row r="195" spans="1:5" x14ac:dyDescent="0.25">
      <c r="A195">
        <v>248</v>
      </c>
      <c r="B195" s="1" t="s">
        <v>380</v>
      </c>
      <c r="C195" s="1" t="s">
        <v>381</v>
      </c>
      <c r="D195" s="1" t="s">
        <v>222</v>
      </c>
      <c r="E195" s="1" t="s">
        <v>384</v>
      </c>
    </row>
    <row r="196" spans="1:5" x14ac:dyDescent="0.25">
      <c r="A196">
        <v>260</v>
      </c>
      <c r="B196" s="1" t="s">
        <v>370</v>
      </c>
      <c r="C196" s="1" t="s">
        <v>371</v>
      </c>
      <c r="D196" s="1" t="s">
        <v>222</v>
      </c>
      <c r="E196" s="1" t="s">
        <v>384</v>
      </c>
    </row>
    <row r="197" spans="1:5" x14ac:dyDescent="0.25">
      <c r="A197">
        <v>267</v>
      </c>
      <c r="B197" s="1" t="s">
        <v>240</v>
      </c>
      <c r="C197" s="1" t="s">
        <v>241</v>
      </c>
      <c r="D197" s="1" t="s">
        <v>222</v>
      </c>
      <c r="E197" s="1" t="s">
        <v>384</v>
      </c>
    </row>
    <row r="198" spans="1:5" x14ac:dyDescent="0.25">
      <c r="A198">
        <v>271</v>
      </c>
      <c r="B198" s="1" t="s">
        <v>262</v>
      </c>
      <c r="C198" s="1" t="s">
        <v>263</v>
      </c>
      <c r="D198" s="1" t="s">
        <v>222</v>
      </c>
      <c r="E198" s="1" t="s">
        <v>384</v>
      </c>
    </row>
    <row r="199" spans="1:5" x14ac:dyDescent="0.25">
      <c r="A199">
        <v>274</v>
      </c>
      <c r="B199" s="1" t="s">
        <v>385</v>
      </c>
      <c r="C199" s="1" t="s">
        <v>386</v>
      </c>
      <c r="D199" s="1" t="s">
        <v>222</v>
      </c>
      <c r="E199" s="1" t="s">
        <v>384</v>
      </c>
    </row>
    <row r="200" spans="1:5" x14ac:dyDescent="0.25">
      <c r="A200">
        <v>284</v>
      </c>
      <c r="B200" s="1" t="s">
        <v>342</v>
      </c>
      <c r="C200" s="1" t="s">
        <v>343</v>
      </c>
      <c r="D200" s="1" t="s">
        <v>222</v>
      </c>
      <c r="E200" s="1" t="s">
        <v>384</v>
      </c>
    </row>
    <row r="201" spans="1:5" x14ac:dyDescent="0.25">
      <c r="A201">
        <v>291</v>
      </c>
      <c r="B201" s="1" t="s">
        <v>264</v>
      </c>
      <c r="C201" s="1" t="s">
        <v>265</v>
      </c>
      <c r="D201" s="1" t="s">
        <v>222</v>
      </c>
      <c r="E201" s="1" t="s">
        <v>384</v>
      </c>
    </row>
    <row r="202" spans="1:5" x14ac:dyDescent="0.25">
      <c r="A202">
        <v>294</v>
      </c>
      <c r="B202" s="1" t="s">
        <v>306</v>
      </c>
      <c r="C202" s="1" t="s">
        <v>307</v>
      </c>
      <c r="D202" s="1" t="s">
        <v>222</v>
      </c>
      <c r="E202" s="1" t="s">
        <v>384</v>
      </c>
    </row>
    <row r="203" spans="1:5" x14ac:dyDescent="0.25">
      <c r="A203">
        <v>297</v>
      </c>
      <c r="B203" s="1" t="s">
        <v>232</v>
      </c>
      <c r="C203" s="1" t="s">
        <v>233</v>
      </c>
      <c r="D203" s="1" t="s">
        <v>222</v>
      </c>
      <c r="E203" s="1" t="s">
        <v>384</v>
      </c>
    </row>
    <row r="204" spans="1:5" x14ac:dyDescent="0.25">
      <c r="A204">
        <v>302</v>
      </c>
      <c r="B204" s="1" t="s">
        <v>328</v>
      </c>
      <c r="C204" s="1" t="s">
        <v>329</v>
      </c>
      <c r="D204" s="1" t="s">
        <v>222</v>
      </c>
      <c r="E204" s="1" t="s">
        <v>384</v>
      </c>
    </row>
    <row r="205" spans="1:5" x14ac:dyDescent="0.25">
      <c r="A205">
        <v>307</v>
      </c>
      <c r="B205" s="1" t="s">
        <v>258</v>
      </c>
      <c r="C205" s="1" t="s">
        <v>259</v>
      </c>
      <c r="D205" s="1" t="s">
        <v>222</v>
      </c>
      <c r="E205" s="1" t="s">
        <v>384</v>
      </c>
    </row>
    <row r="206" spans="1:5" x14ac:dyDescent="0.25">
      <c r="A206">
        <v>314</v>
      </c>
      <c r="B206" s="1" t="s">
        <v>314</v>
      </c>
      <c r="C206" s="1" t="s">
        <v>315</v>
      </c>
      <c r="D206" s="1" t="s">
        <v>222</v>
      </c>
      <c r="E206" s="1" t="s">
        <v>384</v>
      </c>
    </row>
    <row r="207" spans="1:5" x14ac:dyDescent="0.25">
      <c r="A207">
        <v>315</v>
      </c>
      <c r="B207" s="1" t="s">
        <v>393</v>
      </c>
      <c r="C207" s="1" t="s">
        <v>394</v>
      </c>
      <c r="D207" s="1" t="s">
        <v>222</v>
      </c>
      <c r="E207" s="1" t="s">
        <v>384</v>
      </c>
    </row>
    <row r="208" spans="1:5" x14ac:dyDescent="0.25">
      <c r="A208">
        <v>317</v>
      </c>
      <c r="B208" s="1" t="s">
        <v>397</v>
      </c>
      <c r="C208" s="1" t="s">
        <v>398</v>
      </c>
      <c r="D208" s="1" t="s">
        <v>222</v>
      </c>
      <c r="E208" s="1" t="s">
        <v>384</v>
      </c>
    </row>
    <row r="209" spans="1:5" x14ac:dyDescent="0.25">
      <c r="A209">
        <v>319</v>
      </c>
      <c r="B209" s="1" t="s">
        <v>399</v>
      </c>
      <c r="C209" s="1" t="s">
        <v>400</v>
      </c>
      <c r="D209" s="1" t="s">
        <v>222</v>
      </c>
      <c r="E209" s="1" t="s">
        <v>384</v>
      </c>
    </row>
    <row r="210" spans="1:5" x14ac:dyDescent="0.25">
      <c r="A210">
        <v>322</v>
      </c>
      <c r="B210" s="1" t="s">
        <v>230</v>
      </c>
      <c r="C210" s="1" t="s">
        <v>231</v>
      </c>
      <c r="D210" s="1" t="s">
        <v>222</v>
      </c>
      <c r="E210" s="1" t="s">
        <v>384</v>
      </c>
    </row>
    <row r="211" spans="1:5" x14ac:dyDescent="0.25">
      <c r="A211">
        <v>325</v>
      </c>
      <c r="B211" s="1" t="s">
        <v>314</v>
      </c>
      <c r="C211" s="1" t="s">
        <v>315</v>
      </c>
      <c r="D211" s="1" t="s">
        <v>222</v>
      </c>
      <c r="E211" s="1" t="s">
        <v>384</v>
      </c>
    </row>
    <row r="212" spans="1:5" x14ac:dyDescent="0.25">
      <c r="A212">
        <v>349</v>
      </c>
      <c r="B212" s="1" t="s">
        <v>260</v>
      </c>
      <c r="C212" s="1" t="s">
        <v>261</v>
      </c>
      <c r="D212" s="1" t="s">
        <v>222</v>
      </c>
      <c r="E212" s="1" t="s">
        <v>384</v>
      </c>
    </row>
    <row r="213" spans="1:5" x14ac:dyDescent="0.25">
      <c r="A213">
        <v>350</v>
      </c>
      <c r="B213" s="1" t="s">
        <v>308</v>
      </c>
      <c r="C213" s="1" t="s">
        <v>309</v>
      </c>
      <c r="D213" s="1" t="s">
        <v>222</v>
      </c>
      <c r="E213" s="1" t="s">
        <v>384</v>
      </c>
    </row>
    <row r="214" spans="1:5" x14ac:dyDescent="0.25">
      <c r="A214">
        <v>355</v>
      </c>
      <c r="B214" s="1" t="s">
        <v>332</v>
      </c>
      <c r="C214" s="1" t="s">
        <v>333</v>
      </c>
      <c r="D214" s="1" t="s">
        <v>222</v>
      </c>
      <c r="E214" s="1" t="s">
        <v>384</v>
      </c>
    </row>
    <row r="215" spans="1:5" x14ac:dyDescent="0.25">
      <c r="A215">
        <v>356</v>
      </c>
      <c r="B215" s="1" t="s">
        <v>376</v>
      </c>
      <c r="C215" s="1" t="s">
        <v>377</v>
      </c>
      <c r="D215" s="1" t="s">
        <v>222</v>
      </c>
      <c r="E215" s="1" t="s">
        <v>384</v>
      </c>
    </row>
    <row r="216" spans="1:5" x14ac:dyDescent="0.25">
      <c r="A216">
        <v>359</v>
      </c>
      <c r="B216" s="1" t="s">
        <v>376</v>
      </c>
      <c r="C216" s="1" t="s">
        <v>377</v>
      </c>
      <c r="D216" s="1" t="s">
        <v>222</v>
      </c>
      <c r="E216" s="1" t="s">
        <v>384</v>
      </c>
    </row>
    <row r="217" spans="1:5" x14ac:dyDescent="0.25">
      <c r="A217">
        <v>381</v>
      </c>
      <c r="B217" s="1" t="s">
        <v>302</v>
      </c>
      <c r="C217" s="1" t="s">
        <v>303</v>
      </c>
      <c r="D217" s="1" t="s">
        <v>222</v>
      </c>
      <c r="E217" s="1" t="s">
        <v>384</v>
      </c>
    </row>
    <row r="218" spans="1:5" x14ac:dyDescent="0.25">
      <c r="A218">
        <v>384</v>
      </c>
      <c r="B218" s="1" t="s">
        <v>272</v>
      </c>
      <c r="C218" s="1" t="s">
        <v>273</v>
      </c>
      <c r="D218" s="1" t="s">
        <v>222</v>
      </c>
      <c r="E218" s="1" t="s">
        <v>384</v>
      </c>
    </row>
    <row r="219" spans="1:5" x14ac:dyDescent="0.25">
      <c r="A219">
        <v>399</v>
      </c>
      <c r="B219" s="1" t="s">
        <v>262</v>
      </c>
      <c r="C219" s="1" t="s">
        <v>263</v>
      </c>
      <c r="D219" s="1" t="s">
        <v>222</v>
      </c>
      <c r="E219" s="1" t="s">
        <v>384</v>
      </c>
    </row>
    <row r="220" spans="1:5" x14ac:dyDescent="0.25">
      <c r="A220">
        <v>401</v>
      </c>
      <c r="B220" s="1" t="s">
        <v>304</v>
      </c>
      <c r="C220" s="1" t="s">
        <v>305</v>
      </c>
      <c r="D220" s="1" t="s">
        <v>222</v>
      </c>
      <c r="E220" s="1" t="s">
        <v>384</v>
      </c>
    </row>
    <row r="221" spans="1:5" x14ac:dyDescent="0.25">
      <c r="A221">
        <v>407</v>
      </c>
      <c r="B221" s="1" t="s">
        <v>399</v>
      </c>
      <c r="C221" s="1" t="s">
        <v>400</v>
      </c>
      <c r="D221" s="1" t="s">
        <v>222</v>
      </c>
      <c r="E221" s="1" t="s">
        <v>384</v>
      </c>
    </row>
    <row r="222" spans="1:5" x14ac:dyDescent="0.25">
      <c r="A222">
        <v>408</v>
      </c>
      <c r="B222" s="1" t="s">
        <v>334</v>
      </c>
      <c r="C222" s="1" t="s">
        <v>335</v>
      </c>
      <c r="D222" s="1" t="s">
        <v>222</v>
      </c>
      <c r="E222" s="1" t="s">
        <v>384</v>
      </c>
    </row>
    <row r="223" spans="1:5" x14ac:dyDescent="0.25">
      <c r="A223">
        <v>419</v>
      </c>
      <c r="B223" s="1" t="s">
        <v>244</v>
      </c>
      <c r="C223" s="1" t="s">
        <v>245</v>
      </c>
      <c r="D223" s="1" t="s">
        <v>222</v>
      </c>
      <c r="E223" s="1" t="s">
        <v>384</v>
      </c>
    </row>
    <row r="224" spans="1:5" x14ac:dyDescent="0.25">
      <c r="A224">
        <v>428</v>
      </c>
      <c r="B224" s="1" t="s">
        <v>276</v>
      </c>
      <c r="C224" s="1" t="s">
        <v>277</v>
      </c>
      <c r="D224" s="1" t="s">
        <v>222</v>
      </c>
      <c r="E224" s="1" t="s">
        <v>384</v>
      </c>
    </row>
    <row r="225" spans="1:5" x14ac:dyDescent="0.25">
      <c r="A225">
        <v>431</v>
      </c>
      <c r="B225" s="1" t="s">
        <v>401</v>
      </c>
      <c r="C225" s="1" t="s">
        <v>402</v>
      </c>
      <c r="D225" s="1" t="s">
        <v>222</v>
      </c>
      <c r="E225" s="1" t="s">
        <v>384</v>
      </c>
    </row>
    <row r="226" spans="1:5" x14ac:dyDescent="0.25">
      <c r="A226">
        <v>443</v>
      </c>
      <c r="B226" s="1" t="s">
        <v>278</v>
      </c>
      <c r="C226" s="1" t="s">
        <v>279</v>
      </c>
      <c r="D226" s="1" t="s">
        <v>222</v>
      </c>
      <c r="E226" s="1" t="s">
        <v>384</v>
      </c>
    </row>
    <row r="227" spans="1:5" x14ac:dyDescent="0.25">
      <c r="A227">
        <v>447</v>
      </c>
      <c r="B227" s="1" t="s">
        <v>391</v>
      </c>
      <c r="C227" s="1" t="s">
        <v>392</v>
      </c>
      <c r="D227" s="1" t="s">
        <v>222</v>
      </c>
      <c r="E227" s="1" t="s">
        <v>384</v>
      </c>
    </row>
    <row r="228" spans="1:5" x14ac:dyDescent="0.25">
      <c r="A228">
        <v>481</v>
      </c>
      <c r="B228" s="1" t="s">
        <v>376</v>
      </c>
      <c r="C228" s="1" t="s">
        <v>377</v>
      </c>
      <c r="D228" s="1" t="s">
        <v>222</v>
      </c>
      <c r="E228" s="1" t="s">
        <v>384</v>
      </c>
    </row>
    <row r="229" spans="1:5" x14ac:dyDescent="0.25">
      <c r="A229">
        <v>487</v>
      </c>
      <c r="B229" s="1" t="s">
        <v>274</v>
      </c>
      <c r="C229" s="1" t="s">
        <v>275</v>
      </c>
      <c r="D229" s="1" t="s">
        <v>222</v>
      </c>
      <c r="E229" s="1" t="s">
        <v>384</v>
      </c>
    </row>
    <row r="230" spans="1:5" x14ac:dyDescent="0.25">
      <c r="A230">
        <v>503</v>
      </c>
      <c r="B230" s="1" t="s">
        <v>316</v>
      </c>
      <c r="C230" s="1" t="s">
        <v>317</v>
      </c>
      <c r="D230" s="1" t="s">
        <v>222</v>
      </c>
      <c r="E230" s="1" t="s">
        <v>384</v>
      </c>
    </row>
    <row r="231" spans="1:5" x14ac:dyDescent="0.25">
      <c r="A231">
        <v>513</v>
      </c>
      <c r="B231" s="1" t="s">
        <v>312</v>
      </c>
      <c r="C231" s="1" t="s">
        <v>313</v>
      </c>
      <c r="D231" s="1" t="s">
        <v>222</v>
      </c>
      <c r="E231" s="1" t="s">
        <v>384</v>
      </c>
    </row>
    <row r="232" spans="1:5" x14ac:dyDescent="0.25">
      <c r="A232">
        <v>528</v>
      </c>
      <c r="B232" s="1" t="s">
        <v>358</v>
      </c>
      <c r="C232" s="1" t="s">
        <v>359</v>
      </c>
      <c r="D232" s="1" t="s">
        <v>222</v>
      </c>
      <c r="E232" s="1" t="s">
        <v>384</v>
      </c>
    </row>
    <row r="233" spans="1:5" x14ac:dyDescent="0.25">
      <c r="A233">
        <v>533</v>
      </c>
      <c r="B233" s="1" t="s">
        <v>286</v>
      </c>
      <c r="C233" s="1" t="s">
        <v>287</v>
      </c>
      <c r="D233" s="1" t="s">
        <v>222</v>
      </c>
      <c r="E233" s="1" t="s">
        <v>384</v>
      </c>
    </row>
    <row r="234" spans="1:5" x14ac:dyDescent="0.25">
      <c r="A234">
        <v>535</v>
      </c>
      <c r="B234" s="1" t="s">
        <v>270</v>
      </c>
      <c r="C234" s="1" t="s">
        <v>271</v>
      </c>
      <c r="D234" s="1" t="s">
        <v>222</v>
      </c>
      <c r="E234" s="1" t="s">
        <v>384</v>
      </c>
    </row>
    <row r="235" spans="1:5" x14ac:dyDescent="0.25">
      <c r="A235">
        <v>536</v>
      </c>
      <c r="B235" s="1" t="s">
        <v>248</v>
      </c>
      <c r="C235" s="1" t="s">
        <v>249</v>
      </c>
      <c r="D235" s="1" t="s">
        <v>222</v>
      </c>
      <c r="E235" s="1" t="s">
        <v>384</v>
      </c>
    </row>
    <row r="236" spans="1:5" x14ac:dyDescent="0.25">
      <c r="A236">
        <v>550</v>
      </c>
      <c r="B236" s="1" t="s">
        <v>314</v>
      </c>
      <c r="C236" s="1" t="s">
        <v>315</v>
      </c>
      <c r="D236" s="1" t="s">
        <v>222</v>
      </c>
      <c r="E236" s="1" t="s">
        <v>384</v>
      </c>
    </row>
    <row r="237" spans="1:5" x14ac:dyDescent="0.25">
      <c r="A237">
        <v>552</v>
      </c>
      <c r="B237" s="1" t="s">
        <v>403</v>
      </c>
      <c r="C237" s="1" t="s">
        <v>404</v>
      </c>
      <c r="D237" s="1" t="s">
        <v>222</v>
      </c>
      <c r="E237" s="1" t="s">
        <v>384</v>
      </c>
    </row>
    <row r="238" spans="1:5" x14ac:dyDescent="0.25">
      <c r="A238">
        <v>554</v>
      </c>
      <c r="B238" s="1" t="s">
        <v>399</v>
      </c>
      <c r="C238" s="1" t="s">
        <v>400</v>
      </c>
      <c r="D238" s="1" t="s">
        <v>222</v>
      </c>
      <c r="E238" s="1" t="s">
        <v>384</v>
      </c>
    </row>
    <row r="239" spans="1:5" x14ac:dyDescent="0.25">
      <c r="A239">
        <v>558</v>
      </c>
      <c r="B239" s="1" t="s">
        <v>302</v>
      </c>
      <c r="C239" s="1" t="s">
        <v>303</v>
      </c>
      <c r="D239" s="1" t="s">
        <v>222</v>
      </c>
      <c r="E239" s="1" t="s">
        <v>384</v>
      </c>
    </row>
    <row r="240" spans="1:5" x14ac:dyDescent="0.25">
      <c r="A240">
        <v>576</v>
      </c>
      <c r="B240" s="1" t="s">
        <v>338</v>
      </c>
      <c r="C240" s="1" t="s">
        <v>339</v>
      </c>
      <c r="D240" s="1" t="s">
        <v>222</v>
      </c>
      <c r="E240" s="1" t="s">
        <v>384</v>
      </c>
    </row>
    <row r="241" spans="1:5" x14ac:dyDescent="0.25">
      <c r="A241">
        <v>592</v>
      </c>
      <c r="B241" s="1" t="s">
        <v>356</v>
      </c>
      <c r="C241" s="1" t="s">
        <v>357</v>
      </c>
      <c r="D241" s="1" t="s">
        <v>222</v>
      </c>
      <c r="E241" s="1" t="s">
        <v>384</v>
      </c>
    </row>
    <row r="242" spans="1:5" x14ac:dyDescent="0.25">
      <c r="A242">
        <v>596</v>
      </c>
      <c r="B242" s="1" t="s">
        <v>399</v>
      </c>
      <c r="C242" s="1" t="s">
        <v>400</v>
      </c>
      <c r="D242" s="1" t="s">
        <v>222</v>
      </c>
      <c r="E242" s="1" t="s">
        <v>384</v>
      </c>
    </row>
    <row r="243" spans="1:5" x14ac:dyDescent="0.25">
      <c r="A243">
        <v>601</v>
      </c>
      <c r="B243" s="1" t="s">
        <v>290</v>
      </c>
      <c r="C243" s="1" t="s">
        <v>291</v>
      </c>
      <c r="D243" s="1" t="s">
        <v>222</v>
      </c>
      <c r="E243" s="1" t="s">
        <v>384</v>
      </c>
    </row>
    <row r="244" spans="1:5" x14ac:dyDescent="0.25">
      <c r="A244">
        <v>602</v>
      </c>
      <c r="B244" s="1" t="s">
        <v>298</v>
      </c>
      <c r="C244" s="1" t="s">
        <v>299</v>
      </c>
      <c r="D244" s="1" t="s">
        <v>222</v>
      </c>
      <c r="E244" s="1" t="s">
        <v>384</v>
      </c>
    </row>
    <row r="245" spans="1:5" x14ac:dyDescent="0.25">
      <c r="A245">
        <v>616</v>
      </c>
      <c r="B245" s="1" t="s">
        <v>242</v>
      </c>
      <c r="C245" s="1" t="s">
        <v>243</v>
      </c>
      <c r="D245" s="1" t="s">
        <v>222</v>
      </c>
      <c r="E245" s="1" t="s">
        <v>384</v>
      </c>
    </row>
    <row r="246" spans="1:5" x14ac:dyDescent="0.25">
      <c r="A246">
        <v>622</v>
      </c>
      <c r="B246" s="1" t="s">
        <v>292</v>
      </c>
      <c r="C246" s="1" t="s">
        <v>293</v>
      </c>
      <c r="D246" s="1" t="s">
        <v>222</v>
      </c>
      <c r="E246" s="1" t="s">
        <v>384</v>
      </c>
    </row>
    <row r="247" spans="1:5" x14ac:dyDescent="0.25">
      <c r="A247">
        <v>624</v>
      </c>
      <c r="B247" s="1" t="s">
        <v>378</v>
      </c>
      <c r="C247" s="1" t="s">
        <v>379</v>
      </c>
      <c r="D247" s="1" t="s">
        <v>222</v>
      </c>
      <c r="E247" s="1" t="s">
        <v>384</v>
      </c>
    </row>
    <row r="248" spans="1:5" x14ac:dyDescent="0.25">
      <c r="A248">
        <v>630</v>
      </c>
      <c r="B248" s="1" t="s">
        <v>362</v>
      </c>
      <c r="C248" s="1" t="s">
        <v>363</v>
      </c>
      <c r="D248" s="1" t="s">
        <v>222</v>
      </c>
      <c r="E248" s="1" t="s">
        <v>384</v>
      </c>
    </row>
    <row r="249" spans="1:5" x14ac:dyDescent="0.25">
      <c r="A249">
        <v>634</v>
      </c>
      <c r="B249" s="1" t="s">
        <v>344</v>
      </c>
      <c r="C249" s="1" t="s">
        <v>345</v>
      </c>
      <c r="D249" s="1" t="s">
        <v>222</v>
      </c>
      <c r="E249" s="1" t="s">
        <v>384</v>
      </c>
    </row>
    <row r="250" spans="1:5" x14ac:dyDescent="0.25">
      <c r="A250">
        <v>637</v>
      </c>
      <c r="B250" s="1" t="s">
        <v>250</v>
      </c>
      <c r="C250" s="1" t="s">
        <v>251</v>
      </c>
      <c r="D250" s="1" t="s">
        <v>222</v>
      </c>
      <c r="E250" s="1" t="s">
        <v>384</v>
      </c>
    </row>
    <row r="251" spans="1:5" x14ac:dyDescent="0.25">
      <c r="A251">
        <v>662</v>
      </c>
      <c r="B251" s="1" t="s">
        <v>391</v>
      </c>
      <c r="C251" s="1" t="s">
        <v>392</v>
      </c>
      <c r="D251" s="1" t="s">
        <v>222</v>
      </c>
      <c r="E251" s="1" t="s">
        <v>384</v>
      </c>
    </row>
    <row r="252" spans="1:5" x14ac:dyDescent="0.25">
      <c r="A252">
        <v>671</v>
      </c>
      <c r="B252" s="1" t="s">
        <v>405</v>
      </c>
      <c r="C252" s="1" t="s">
        <v>406</v>
      </c>
      <c r="D252" s="1" t="s">
        <v>222</v>
      </c>
      <c r="E252" s="1" t="s">
        <v>384</v>
      </c>
    </row>
    <row r="253" spans="1:5" x14ac:dyDescent="0.25">
      <c r="A253">
        <v>691</v>
      </c>
      <c r="B253" s="1" t="s">
        <v>278</v>
      </c>
      <c r="C253" s="1" t="s">
        <v>279</v>
      </c>
      <c r="D253" s="1" t="s">
        <v>222</v>
      </c>
      <c r="E253" s="1" t="s">
        <v>384</v>
      </c>
    </row>
    <row r="254" spans="1:5" x14ac:dyDescent="0.25">
      <c r="A254">
        <v>695</v>
      </c>
      <c r="B254" s="1" t="s">
        <v>395</v>
      </c>
      <c r="C254" s="1" t="s">
        <v>396</v>
      </c>
      <c r="D254" s="1" t="s">
        <v>222</v>
      </c>
      <c r="E254" s="1" t="s">
        <v>384</v>
      </c>
    </row>
    <row r="255" spans="1:5" x14ac:dyDescent="0.25">
      <c r="A255">
        <v>704</v>
      </c>
      <c r="B255" s="1" t="s">
        <v>405</v>
      </c>
      <c r="C255" s="1" t="s">
        <v>406</v>
      </c>
      <c r="D255" s="1" t="s">
        <v>222</v>
      </c>
      <c r="E255" s="1" t="s">
        <v>384</v>
      </c>
    </row>
    <row r="256" spans="1:5" x14ac:dyDescent="0.25">
      <c r="A256">
        <v>712</v>
      </c>
      <c r="B256" s="1" t="s">
        <v>300</v>
      </c>
      <c r="C256" s="1" t="s">
        <v>301</v>
      </c>
      <c r="D256" s="1" t="s">
        <v>222</v>
      </c>
      <c r="E256" s="1" t="s">
        <v>384</v>
      </c>
    </row>
    <row r="257" spans="1:5" x14ac:dyDescent="0.25">
      <c r="A257">
        <v>731</v>
      </c>
      <c r="B257" s="1" t="s">
        <v>252</v>
      </c>
      <c r="C257" s="1" t="s">
        <v>253</v>
      </c>
      <c r="D257" s="1" t="s">
        <v>222</v>
      </c>
      <c r="E257" s="1" t="s">
        <v>384</v>
      </c>
    </row>
    <row r="258" spans="1:5" x14ac:dyDescent="0.25">
      <c r="A258">
        <v>740</v>
      </c>
      <c r="B258" s="1" t="s">
        <v>399</v>
      </c>
      <c r="C258" s="1" t="s">
        <v>400</v>
      </c>
      <c r="D258" s="1" t="s">
        <v>222</v>
      </c>
      <c r="E258" s="1" t="s">
        <v>384</v>
      </c>
    </row>
    <row r="259" spans="1:5" x14ac:dyDescent="0.25">
      <c r="A259">
        <v>747</v>
      </c>
      <c r="B259" s="1" t="s">
        <v>403</v>
      </c>
      <c r="C259" s="1" t="s">
        <v>404</v>
      </c>
      <c r="D259" s="1" t="s">
        <v>222</v>
      </c>
      <c r="E259" s="1" t="s">
        <v>384</v>
      </c>
    </row>
    <row r="260" spans="1:5" x14ac:dyDescent="0.25">
      <c r="A260">
        <v>749</v>
      </c>
      <c r="B260" s="1" t="s">
        <v>314</v>
      </c>
      <c r="C260" s="1" t="s">
        <v>315</v>
      </c>
      <c r="D260" s="1" t="s">
        <v>222</v>
      </c>
      <c r="E260" s="1" t="s">
        <v>384</v>
      </c>
    </row>
    <row r="261" spans="1:5" x14ac:dyDescent="0.25">
      <c r="A261">
        <v>752</v>
      </c>
      <c r="B261" s="1" t="s">
        <v>274</v>
      </c>
      <c r="C261" s="1" t="s">
        <v>275</v>
      </c>
      <c r="D261" s="1" t="s">
        <v>222</v>
      </c>
      <c r="E261" s="1" t="s">
        <v>384</v>
      </c>
    </row>
    <row r="262" spans="1:5" x14ac:dyDescent="0.25">
      <c r="A262">
        <v>757</v>
      </c>
      <c r="B262" s="1" t="s">
        <v>407</v>
      </c>
      <c r="C262" s="1" t="s">
        <v>408</v>
      </c>
      <c r="D262" s="1" t="s">
        <v>222</v>
      </c>
      <c r="E262" s="1" t="s">
        <v>384</v>
      </c>
    </row>
    <row r="263" spans="1:5" x14ac:dyDescent="0.25">
      <c r="A263">
        <v>764</v>
      </c>
      <c r="B263" s="1" t="s">
        <v>266</v>
      </c>
      <c r="C263" s="1" t="s">
        <v>267</v>
      </c>
      <c r="D263" s="1" t="s">
        <v>222</v>
      </c>
      <c r="E263" s="1" t="s">
        <v>384</v>
      </c>
    </row>
    <row r="264" spans="1:5" x14ac:dyDescent="0.25">
      <c r="A264">
        <v>770</v>
      </c>
      <c r="B264" s="1" t="s">
        <v>387</v>
      </c>
      <c r="C264" s="1" t="s">
        <v>388</v>
      </c>
      <c r="D264" s="1" t="s">
        <v>222</v>
      </c>
      <c r="E264" s="1" t="s">
        <v>384</v>
      </c>
    </row>
    <row r="265" spans="1:5" x14ac:dyDescent="0.25">
      <c r="A265">
        <v>775</v>
      </c>
      <c r="B265" s="1" t="s">
        <v>399</v>
      </c>
      <c r="C265" s="1" t="s">
        <v>400</v>
      </c>
      <c r="D265" s="1" t="s">
        <v>222</v>
      </c>
      <c r="E265" s="1" t="s">
        <v>384</v>
      </c>
    </row>
    <row r="266" spans="1:5" x14ac:dyDescent="0.25">
      <c r="A266">
        <v>781</v>
      </c>
      <c r="B266" s="1" t="s">
        <v>302</v>
      </c>
      <c r="C266" s="1" t="s">
        <v>303</v>
      </c>
      <c r="D266" s="1" t="s">
        <v>222</v>
      </c>
      <c r="E266" s="1" t="s">
        <v>384</v>
      </c>
    </row>
    <row r="267" spans="1:5" x14ac:dyDescent="0.25">
      <c r="A267">
        <v>784</v>
      </c>
      <c r="B267" s="1" t="s">
        <v>409</v>
      </c>
      <c r="C267" s="1" t="s">
        <v>410</v>
      </c>
      <c r="D267" s="1" t="s">
        <v>222</v>
      </c>
      <c r="E267" s="1" t="s">
        <v>384</v>
      </c>
    </row>
    <row r="268" spans="1:5" x14ac:dyDescent="0.25">
      <c r="A268">
        <v>789</v>
      </c>
      <c r="B268" s="1" t="s">
        <v>346</v>
      </c>
      <c r="C268" s="1" t="s">
        <v>347</v>
      </c>
      <c r="D268" s="1" t="s">
        <v>222</v>
      </c>
      <c r="E268" s="1" t="s">
        <v>384</v>
      </c>
    </row>
    <row r="269" spans="1:5" x14ac:dyDescent="0.25">
      <c r="A269">
        <v>792</v>
      </c>
      <c r="B269" s="1" t="s">
        <v>328</v>
      </c>
      <c r="C269" s="1" t="s">
        <v>329</v>
      </c>
      <c r="D269" s="1" t="s">
        <v>222</v>
      </c>
      <c r="E269" s="1" t="s">
        <v>384</v>
      </c>
    </row>
    <row r="270" spans="1:5" x14ac:dyDescent="0.25">
      <c r="A270">
        <v>793</v>
      </c>
      <c r="B270" s="1" t="s">
        <v>346</v>
      </c>
      <c r="C270" s="1" t="s">
        <v>347</v>
      </c>
      <c r="D270" s="1" t="s">
        <v>222</v>
      </c>
      <c r="E270" s="1" t="s">
        <v>384</v>
      </c>
    </row>
    <row r="271" spans="1:5" x14ac:dyDescent="0.25">
      <c r="A271">
        <v>807</v>
      </c>
      <c r="B271" s="1" t="s">
        <v>405</v>
      </c>
      <c r="C271" s="1" t="s">
        <v>406</v>
      </c>
      <c r="D271" s="1" t="s">
        <v>222</v>
      </c>
      <c r="E271" s="1" t="s">
        <v>384</v>
      </c>
    </row>
    <row r="272" spans="1:5" x14ac:dyDescent="0.25">
      <c r="A272">
        <v>808</v>
      </c>
      <c r="B272" s="1" t="s">
        <v>290</v>
      </c>
      <c r="C272" s="1" t="s">
        <v>291</v>
      </c>
      <c r="D272" s="1" t="s">
        <v>222</v>
      </c>
      <c r="E272" s="1" t="s">
        <v>384</v>
      </c>
    </row>
    <row r="273" spans="1:5" x14ac:dyDescent="0.25">
      <c r="A273">
        <v>825</v>
      </c>
      <c r="B273" s="1" t="s">
        <v>411</v>
      </c>
      <c r="C273" s="1" t="s">
        <v>412</v>
      </c>
      <c r="D273" s="1" t="s">
        <v>222</v>
      </c>
      <c r="E273" s="1" t="s">
        <v>384</v>
      </c>
    </row>
    <row r="274" spans="1:5" x14ac:dyDescent="0.25">
      <c r="A274">
        <v>831</v>
      </c>
      <c r="B274" s="1" t="s">
        <v>364</v>
      </c>
      <c r="C274" s="1" t="s">
        <v>365</v>
      </c>
      <c r="D274" s="1" t="s">
        <v>222</v>
      </c>
      <c r="E274" s="1" t="s">
        <v>384</v>
      </c>
    </row>
    <row r="275" spans="1:5" x14ac:dyDescent="0.25">
      <c r="A275">
        <v>833</v>
      </c>
      <c r="B275" s="1" t="s">
        <v>288</v>
      </c>
      <c r="C275" s="1" t="s">
        <v>289</v>
      </c>
      <c r="D275" s="1" t="s">
        <v>222</v>
      </c>
      <c r="E275" s="1" t="s">
        <v>384</v>
      </c>
    </row>
    <row r="276" spans="1:5" x14ac:dyDescent="0.25">
      <c r="A276">
        <v>843</v>
      </c>
      <c r="B276" s="1" t="s">
        <v>278</v>
      </c>
      <c r="C276" s="1" t="s">
        <v>279</v>
      </c>
      <c r="D276" s="1" t="s">
        <v>222</v>
      </c>
      <c r="E276" s="1" t="s">
        <v>384</v>
      </c>
    </row>
    <row r="277" spans="1:5" x14ac:dyDescent="0.25">
      <c r="A277">
        <v>852</v>
      </c>
      <c r="B277" s="1" t="s">
        <v>278</v>
      </c>
      <c r="C277" s="1" t="s">
        <v>279</v>
      </c>
      <c r="D277" s="1" t="s">
        <v>222</v>
      </c>
      <c r="E277" s="1" t="s">
        <v>384</v>
      </c>
    </row>
    <row r="278" spans="1:5" x14ac:dyDescent="0.25">
      <c r="A278">
        <v>860</v>
      </c>
      <c r="B278" s="1" t="s">
        <v>294</v>
      </c>
      <c r="C278" s="1" t="s">
        <v>295</v>
      </c>
      <c r="D278" s="1" t="s">
        <v>222</v>
      </c>
      <c r="E278" s="1" t="s">
        <v>384</v>
      </c>
    </row>
    <row r="279" spans="1:5" x14ac:dyDescent="0.25">
      <c r="A279">
        <v>875</v>
      </c>
      <c r="B279" s="1" t="s">
        <v>220</v>
      </c>
      <c r="C279" s="1" t="s">
        <v>221</v>
      </c>
      <c r="D279" s="1" t="s">
        <v>222</v>
      </c>
      <c r="E279" s="1" t="s">
        <v>384</v>
      </c>
    </row>
    <row r="280" spans="1:5" x14ac:dyDescent="0.25">
      <c r="A280">
        <v>876</v>
      </c>
      <c r="B280" s="1" t="s">
        <v>302</v>
      </c>
      <c r="C280" s="1" t="s">
        <v>303</v>
      </c>
      <c r="D280" s="1" t="s">
        <v>222</v>
      </c>
      <c r="E280" s="1" t="s">
        <v>384</v>
      </c>
    </row>
    <row r="281" spans="1:5" x14ac:dyDescent="0.25">
      <c r="A281">
        <v>880</v>
      </c>
      <c r="B281" s="1" t="s">
        <v>286</v>
      </c>
      <c r="C281" s="1" t="s">
        <v>287</v>
      </c>
      <c r="D281" s="1" t="s">
        <v>222</v>
      </c>
      <c r="E281" s="1" t="s">
        <v>384</v>
      </c>
    </row>
    <row r="282" spans="1:5" x14ac:dyDescent="0.25">
      <c r="A282">
        <v>887</v>
      </c>
      <c r="B282" s="1" t="s">
        <v>338</v>
      </c>
      <c r="C282" s="1" t="s">
        <v>339</v>
      </c>
      <c r="D282" s="1" t="s">
        <v>222</v>
      </c>
      <c r="E282" s="1" t="s">
        <v>384</v>
      </c>
    </row>
    <row r="283" spans="1:5" x14ac:dyDescent="0.25">
      <c r="A283">
        <v>889</v>
      </c>
      <c r="B283" s="1" t="s">
        <v>407</v>
      </c>
      <c r="C283" s="1" t="s">
        <v>408</v>
      </c>
      <c r="D283" s="1" t="s">
        <v>222</v>
      </c>
      <c r="E283" s="1" t="s">
        <v>384</v>
      </c>
    </row>
    <row r="284" spans="1:5" x14ac:dyDescent="0.25">
      <c r="A284">
        <v>896</v>
      </c>
      <c r="B284" s="1" t="s">
        <v>232</v>
      </c>
      <c r="C284" s="1" t="s">
        <v>233</v>
      </c>
      <c r="D284" s="1" t="s">
        <v>222</v>
      </c>
      <c r="E284" s="1" t="s">
        <v>384</v>
      </c>
    </row>
    <row r="285" spans="1:5" x14ac:dyDescent="0.25">
      <c r="A285">
        <v>902</v>
      </c>
      <c r="B285" s="1" t="s">
        <v>413</v>
      </c>
      <c r="C285" s="1" t="s">
        <v>414</v>
      </c>
      <c r="D285" s="1" t="s">
        <v>222</v>
      </c>
      <c r="E285" s="1" t="s">
        <v>384</v>
      </c>
    </row>
    <row r="286" spans="1:5" x14ac:dyDescent="0.25">
      <c r="A286">
        <v>912</v>
      </c>
      <c r="B286" s="1" t="s">
        <v>308</v>
      </c>
      <c r="C286" s="1" t="s">
        <v>309</v>
      </c>
      <c r="D286" s="1" t="s">
        <v>222</v>
      </c>
      <c r="E286" s="1" t="s">
        <v>384</v>
      </c>
    </row>
    <row r="287" spans="1:5" x14ac:dyDescent="0.25">
      <c r="A287">
        <v>918</v>
      </c>
      <c r="B287" s="1" t="s">
        <v>308</v>
      </c>
      <c r="C287" s="1" t="s">
        <v>309</v>
      </c>
      <c r="D287" s="1" t="s">
        <v>222</v>
      </c>
      <c r="E287" s="1" t="s">
        <v>384</v>
      </c>
    </row>
    <row r="288" spans="1:5" x14ac:dyDescent="0.25">
      <c r="A288">
        <v>920</v>
      </c>
      <c r="B288" s="1" t="s">
        <v>224</v>
      </c>
      <c r="C288" s="1" t="s">
        <v>225</v>
      </c>
      <c r="D288" s="1" t="s">
        <v>222</v>
      </c>
      <c r="E288" s="1" t="s">
        <v>384</v>
      </c>
    </row>
    <row r="289" spans="1:5" x14ac:dyDescent="0.25">
      <c r="A289">
        <v>927</v>
      </c>
      <c r="B289" s="1" t="s">
        <v>240</v>
      </c>
      <c r="C289" s="1" t="s">
        <v>241</v>
      </c>
      <c r="D289" s="1" t="s">
        <v>222</v>
      </c>
      <c r="E289" s="1" t="s">
        <v>384</v>
      </c>
    </row>
    <row r="290" spans="1:5" x14ac:dyDescent="0.25">
      <c r="A290">
        <v>937</v>
      </c>
      <c r="B290" s="1" t="s">
        <v>220</v>
      </c>
      <c r="C290" s="1" t="s">
        <v>221</v>
      </c>
      <c r="D290" s="1" t="s">
        <v>222</v>
      </c>
      <c r="E290" s="1" t="s">
        <v>384</v>
      </c>
    </row>
    <row r="291" spans="1:5" x14ac:dyDescent="0.25">
      <c r="A291">
        <v>939</v>
      </c>
      <c r="B291" s="1" t="s">
        <v>266</v>
      </c>
      <c r="C291" s="1" t="s">
        <v>267</v>
      </c>
      <c r="D291" s="1" t="s">
        <v>222</v>
      </c>
      <c r="E291" s="1" t="s">
        <v>384</v>
      </c>
    </row>
    <row r="292" spans="1:5" x14ac:dyDescent="0.25">
      <c r="A292">
        <v>980</v>
      </c>
      <c r="B292" s="1" t="s">
        <v>372</v>
      </c>
      <c r="C292" s="1" t="s">
        <v>373</v>
      </c>
      <c r="D292" s="1" t="s">
        <v>222</v>
      </c>
      <c r="E292" s="1" t="s">
        <v>384</v>
      </c>
    </row>
    <row r="293" spans="1:5" x14ac:dyDescent="0.25">
      <c r="A293">
        <v>984</v>
      </c>
      <c r="B293" s="1" t="s">
        <v>252</v>
      </c>
      <c r="C293" s="1" t="s">
        <v>253</v>
      </c>
      <c r="D293" s="1" t="s">
        <v>222</v>
      </c>
      <c r="E293" s="1" t="s">
        <v>384</v>
      </c>
    </row>
    <row r="294" spans="1:5" x14ac:dyDescent="0.25">
      <c r="A294">
        <v>990</v>
      </c>
      <c r="B294" s="1" t="s">
        <v>328</v>
      </c>
      <c r="C294" s="1" t="s">
        <v>329</v>
      </c>
      <c r="D294" s="1" t="s">
        <v>222</v>
      </c>
      <c r="E294" s="1" t="s">
        <v>384</v>
      </c>
    </row>
    <row r="295" spans="1:5" x14ac:dyDescent="0.25">
      <c r="A295">
        <v>994</v>
      </c>
      <c r="B295" s="1" t="s">
        <v>342</v>
      </c>
      <c r="C295" s="1" t="s">
        <v>343</v>
      </c>
      <c r="D295" s="1" t="s">
        <v>222</v>
      </c>
      <c r="E295" s="1" t="s">
        <v>384</v>
      </c>
    </row>
    <row r="296" spans="1:5" x14ac:dyDescent="0.25">
      <c r="A296">
        <v>4</v>
      </c>
      <c r="B296" s="1" t="s">
        <v>228</v>
      </c>
      <c r="C296" s="1" t="s">
        <v>229</v>
      </c>
      <c r="D296" s="1" t="s">
        <v>415</v>
      </c>
      <c r="E296" s="1" t="s">
        <v>416</v>
      </c>
    </row>
    <row r="297" spans="1:5" x14ac:dyDescent="0.25">
      <c r="A297">
        <v>8</v>
      </c>
      <c r="B297" s="1" t="s">
        <v>350</v>
      </c>
      <c r="C297" s="1" t="s">
        <v>351</v>
      </c>
      <c r="D297" s="1" t="s">
        <v>415</v>
      </c>
      <c r="E297" s="1" t="s">
        <v>416</v>
      </c>
    </row>
    <row r="298" spans="1:5" x14ac:dyDescent="0.25">
      <c r="A298">
        <v>29</v>
      </c>
      <c r="B298" s="1" t="s">
        <v>238</v>
      </c>
      <c r="C298" s="1" t="s">
        <v>239</v>
      </c>
      <c r="D298" s="1" t="s">
        <v>415</v>
      </c>
      <c r="E298" s="1" t="s">
        <v>416</v>
      </c>
    </row>
    <row r="299" spans="1:5" x14ac:dyDescent="0.25">
      <c r="A299">
        <v>36</v>
      </c>
      <c r="B299" s="1" t="s">
        <v>358</v>
      </c>
      <c r="C299" s="1" t="s">
        <v>359</v>
      </c>
      <c r="D299" s="1" t="s">
        <v>415</v>
      </c>
      <c r="E299" s="1" t="s">
        <v>416</v>
      </c>
    </row>
    <row r="300" spans="1:5" x14ac:dyDescent="0.25">
      <c r="A300">
        <v>40</v>
      </c>
      <c r="B300" s="1" t="s">
        <v>393</v>
      </c>
      <c r="C300" s="1" t="s">
        <v>394</v>
      </c>
      <c r="D300" s="1" t="s">
        <v>415</v>
      </c>
      <c r="E300" s="1" t="s">
        <v>416</v>
      </c>
    </row>
    <row r="301" spans="1:5" x14ac:dyDescent="0.25">
      <c r="A301">
        <v>43</v>
      </c>
      <c r="B301" s="1" t="s">
        <v>284</v>
      </c>
      <c r="C301" s="1" t="s">
        <v>285</v>
      </c>
      <c r="D301" s="1" t="s">
        <v>415</v>
      </c>
      <c r="E301" s="1" t="s">
        <v>416</v>
      </c>
    </row>
    <row r="302" spans="1:5" x14ac:dyDescent="0.25">
      <c r="A302">
        <v>53</v>
      </c>
      <c r="B302" s="1" t="s">
        <v>302</v>
      </c>
      <c r="C302" s="1" t="s">
        <v>303</v>
      </c>
      <c r="D302" s="1" t="s">
        <v>415</v>
      </c>
      <c r="E302" s="1" t="s">
        <v>416</v>
      </c>
    </row>
    <row r="303" spans="1:5" x14ac:dyDescent="0.25">
      <c r="A303">
        <v>55</v>
      </c>
      <c r="B303" s="1" t="s">
        <v>358</v>
      </c>
      <c r="C303" s="1" t="s">
        <v>359</v>
      </c>
      <c r="D303" s="1" t="s">
        <v>415</v>
      </c>
      <c r="E303" s="1" t="s">
        <v>416</v>
      </c>
    </row>
    <row r="304" spans="1:5" x14ac:dyDescent="0.25">
      <c r="A304">
        <v>57</v>
      </c>
      <c r="B304" s="1" t="s">
        <v>232</v>
      </c>
      <c r="C304" s="1" t="s">
        <v>233</v>
      </c>
      <c r="D304" s="1" t="s">
        <v>415</v>
      </c>
      <c r="E304" s="1" t="s">
        <v>416</v>
      </c>
    </row>
    <row r="305" spans="1:5" x14ac:dyDescent="0.25">
      <c r="A305">
        <v>71</v>
      </c>
      <c r="B305" s="1" t="s">
        <v>397</v>
      </c>
      <c r="C305" s="1" t="s">
        <v>398</v>
      </c>
      <c r="D305" s="1" t="s">
        <v>415</v>
      </c>
      <c r="E305" s="1" t="s">
        <v>416</v>
      </c>
    </row>
    <row r="306" spans="1:5" x14ac:dyDescent="0.25">
      <c r="A306">
        <v>88</v>
      </c>
      <c r="B306" s="1" t="s">
        <v>417</v>
      </c>
      <c r="C306" s="1" t="s">
        <v>418</v>
      </c>
      <c r="D306" s="1" t="s">
        <v>415</v>
      </c>
      <c r="E306" s="1" t="s">
        <v>416</v>
      </c>
    </row>
    <row r="307" spans="1:5" x14ac:dyDescent="0.25">
      <c r="A307">
        <v>89</v>
      </c>
      <c r="B307" s="1" t="s">
        <v>262</v>
      </c>
      <c r="C307" s="1" t="s">
        <v>263</v>
      </c>
      <c r="D307" s="1" t="s">
        <v>415</v>
      </c>
      <c r="E307" s="1" t="s">
        <v>416</v>
      </c>
    </row>
    <row r="308" spans="1:5" x14ac:dyDescent="0.25">
      <c r="A308">
        <v>100</v>
      </c>
      <c r="B308" s="1" t="s">
        <v>391</v>
      </c>
      <c r="C308" s="1" t="s">
        <v>392</v>
      </c>
      <c r="D308" s="1" t="s">
        <v>415</v>
      </c>
      <c r="E308" s="1" t="s">
        <v>416</v>
      </c>
    </row>
    <row r="309" spans="1:5" x14ac:dyDescent="0.25">
      <c r="A309">
        <v>107</v>
      </c>
      <c r="B309" s="1" t="s">
        <v>290</v>
      </c>
      <c r="C309" s="1" t="s">
        <v>291</v>
      </c>
      <c r="D309" s="1" t="s">
        <v>415</v>
      </c>
      <c r="E309" s="1" t="s">
        <v>416</v>
      </c>
    </row>
    <row r="310" spans="1:5" x14ac:dyDescent="0.25">
      <c r="A310">
        <v>109</v>
      </c>
      <c r="B310" s="1" t="s">
        <v>419</v>
      </c>
      <c r="C310" s="1" t="s">
        <v>420</v>
      </c>
      <c r="D310" s="1" t="s">
        <v>415</v>
      </c>
      <c r="E310" s="1" t="s">
        <v>416</v>
      </c>
    </row>
    <row r="311" spans="1:5" x14ac:dyDescent="0.25">
      <c r="A311">
        <v>120</v>
      </c>
      <c r="B311" s="1" t="s">
        <v>350</v>
      </c>
      <c r="C311" s="1" t="s">
        <v>351</v>
      </c>
      <c r="D311" s="1" t="s">
        <v>415</v>
      </c>
      <c r="E311" s="1" t="s">
        <v>416</v>
      </c>
    </row>
    <row r="312" spans="1:5" x14ac:dyDescent="0.25">
      <c r="A312">
        <v>124</v>
      </c>
      <c r="B312" s="1" t="s">
        <v>395</v>
      </c>
      <c r="C312" s="1" t="s">
        <v>396</v>
      </c>
      <c r="D312" s="1" t="s">
        <v>415</v>
      </c>
      <c r="E312" s="1" t="s">
        <v>416</v>
      </c>
    </row>
    <row r="313" spans="1:5" x14ac:dyDescent="0.25">
      <c r="A313">
        <v>125</v>
      </c>
      <c r="B313" s="1" t="s">
        <v>260</v>
      </c>
      <c r="C313" s="1" t="s">
        <v>261</v>
      </c>
      <c r="D313" s="1" t="s">
        <v>415</v>
      </c>
      <c r="E313" s="1" t="s">
        <v>416</v>
      </c>
    </row>
    <row r="314" spans="1:5" x14ac:dyDescent="0.25">
      <c r="A314">
        <v>129</v>
      </c>
      <c r="B314" s="1" t="s">
        <v>264</v>
      </c>
      <c r="C314" s="1" t="s">
        <v>265</v>
      </c>
      <c r="D314" s="1" t="s">
        <v>415</v>
      </c>
      <c r="E314" s="1" t="s">
        <v>416</v>
      </c>
    </row>
    <row r="315" spans="1:5" x14ac:dyDescent="0.25">
      <c r="A315">
        <v>130</v>
      </c>
      <c r="B315" s="1" t="s">
        <v>354</v>
      </c>
      <c r="C315" s="1" t="s">
        <v>355</v>
      </c>
      <c r="D315" s="1" t="s">
        <v>415</v>
      </c>
      <c r="E315" s="1" t="s">
        <v>416</v>
      </c>
    </row>
    <row r="316" spans="1:5" x14ac:dyDescent="0.25">
      <c r="A316">
        <v>132</v>
      </c>
      <c r="B316" s="1" t="s">
        <v>399</v>
      </c>
      <c r="C316" s="1" t="s">
        <v>400</v>
      </c>
      <c r="D316" s="1" t="s">
        <v>415</v>
      </c>
      <c r="E316" s="1" t="s">
        <v>416</v>
      </c>
    </row>
    <row r="317" spans="1:5" x14ac:dyDescent="0.25">
      <c r="A317">
        <v>137</v>
      </c>
      <c r="B317" s="1" t="s">
        <v>385</v>
      </c>
      <c r="C317" s="1" t="s">
        <v>386</v>
      </c>
      <c r="D317" s="1" t="s">
        <v>415</v>
      </c>
      <c r="E317" s="1" t="s">
        <v>416</v>
      </c>
    </row>
    <row r="318" spans="1:5" x14ac:dyDescent="0.25">
      <c r="A318">
        <v>139</v>
      </c>
      <c r="B318" s="1" t="s">
        <v>266</v>
      </c>
      <c r="C318" s="1" t="s">
        <v>267</v>
      </c>
      <c r="D318" s="1" t="s">
        <v>415</v>
      </c>
      <c r="E318" s="1" t="s">
        <v>416</v>
      </c>
    </row>
    <row r="319" spans="1:5" x14ac:dyDescent="0.25">
      <c r="A319">
        <v>146</v>
      </c>
      <c r="B319" s="1" t="s">
        <v>264</v>
      </c>
      <c r="C319" s="1" t="s">
        <v>265</v>
      </c>
      <c r="D319" s="1" t="s">
        <v>415</v>
      </c>
      <c r="E319" s="1" t="s">
        <v>416</v>
      </c>
    </row>
    <row r="320" spans="1:5" x14ac:dyDescent="0.25">
      <c r="A320">
        <v>147</v>
      </c>
      <c r="B320" s="1" t="s">
        <v>382</v>
      </c>
      <c r="C320" s="1" t="s">
        <v>383</v>
      </c>
      <c r="D320" s="1" t="s">
        <v>415</v>
      </c>
      <c r="E320" s="1" t="s">
        <v>416</v>
      </c>
    </row>
    <row r="321" spans="1:5" x14ac:dyDescent="0.25">
      <c r="A321">
        <v>149</v>
      </c>
      <c r="B321" s="1" t="s">
        <v>362</v>
      </c>
      <c r="C321" s="1" t="s">
        <v>363</v>
      </c>
      <c r="D321" s="1" t="s">
        <v>415</v>
      </c>
      <c r="E321" s="1" t="s">
        <v>416</v>
      </c>
    </row>
    <row r="322" spans="1:5" x14ac:dyDescent="0.25">
      <c r="A322">
        <v>158</v>
      </c>
      <c r="B322" s="1" t="s">
        <v>250</v>
      </c>
      <c r="C322" s="1" t="s">
        <v>251</v>
      </c>
      <c r="D322" s="1" t="s">
        <v>415</v>
      </c>
      <c r="E322" s="1" t="s">
        <v>416</v>
      </c>
    </row>
    <row r="323" spans="1:5" x14ac:dyDescent="0.25">
      <c r="A323">
        <v>162</v>
      </c>
      <c r="B323" s="1" t="s">
        <v>372</v>
      </c>
      <c r="C323" s="1" t="s">
        <v>373</v>
      </c>
      <c r="D323" s="1" t="s">
        <v>415</v>
      </c>
      <c r="E323" s="1" t="s">
        <v>416</v>
      </c>
    </row>
    <row r="324" spans="1:5" x14ac:dyDescent="0.25">
      <c r="A324">
        <v>172</v>
      </c>
      <c r="B324" s="1" t="s">
        <v>368</v>
      </c>
      <c r="C324" s="1" t="s">
        <v>369</v>
      </c>
      <c r="D324" s="1" t="s">
        <v>415</v>
      </c>
      <c r="E324" s="1" t="s">
        <v>416</v>
      </c>
    </row>
    <row r="325" spans="1:5" x14ac:dyDescent="0.25">
      <c r="A325">
        <v>175</v>
      </c>
      <c r="B325" s="1" t="s">
        <v>298</v>
      </c>
      <c r="C325" s="1" t="s">
        <v>299</v>
      </c>
      <c r="D325" s="1" t="s">
        <v>415</v>
      </c>
      <c r="E325" s="1" t="s">
        <v>416</v>
      </c>
    </row>
    <row r="326" spans="1:5" x14ac:dyDescent="0.25">
      <c r="A326">
        <v>177</v>
      </c>
      <c r="B326" s="1" t="s">
        <v>354</v>
      </c>
      <c r="C326" s="1" t="s">
        <v>355</v>
      </c>
      <c r="D326" s="1" t="s">
        <v>415</v>
      </c>
      <c r="E326" s="1" t="s">
        <v>416</v>
      </c>
    </row>
    <row r="327" spans="1:5" x14ac:dyDescent="0.25">
      <c r="A327">
        <v>180</v>
      </c>
      <c r="B327" s="1" t="s">
        <v>262</v>
      </c>
      <c r="C327" s="1" t="s">
        <v>263</v>
      </c>
      <c r="D327" s="1" t="s">
        <v>415</v>
      </c>
      <c r="E327" s="1" t="s">
        <v>416</v>
      </c>
    </row>
    <row r="328" spans="1:5" x14ac:dyDescent="0.25">
      <c r="A328">
        <v>187</v>
      </c>
      <c r="B328" s="1" t="s">
        <v>397</v>
      </c>
      <c r="C328" s="1" t="s">
        <v>398</v>
      </c>
      <c r="D328" s="1" t="s">
        <v>415</v>
      </c>
      <c r="E328" s="1" t="s">
        <v>416</v>
      </c>
    </row>
    <row r="329" spans="1:5" x14ac:dyDescent="0.25">
      <c r="A329">
        <v>195</v>
      </c>
      <c r="B329" s="1" t="s">
        <v>338</v>
      </c>
      <c r="C329" s="1" t="s">
        <v>339</v>
      </c>
      <c r="D329" s="1" t="s">
        <v>415</v>
      </c>
      <c r="E329" s="1" t="s">
        <v>416</v>
      </c>
    </row>
    <row r="330" spans="1:5" x14ac:dyDescent="0.25">
      <c r="A330">
        <v>217</v>
      </c>
      <c r="B330" s="1" t="s">
        <v>316</v>
      </c>
      <c r="C330" s="1" t="s">
        <v>317</v>
      </c>
      <c r="D330" s="1" t="s">
        <v>415</v>
      </c>
      <c r="E330" s="1" t="s">
        <v>416</v>
      </c>
    </row>
    <row r="331" spans="1:5" x14ac:dyDescent="0.25">
      <c r="A331">
        <v>225</v>
      </c>
      <c r="B331" s="1" t="s">
        <v>300</v>
      </c>
      <c r="C331" s="1" t="s">
        <v>301</v>
      </c>
      <c r="D331" s="1" t="s">
        <v>415</v>
      </c>
      <c r="E331" s="1" t="s">
        <v>416</v>
      </c>
    </row>
    <row r="332" spans="1:5" x14ac:dyDescent="0.25">
      <c r="A332">
        <v>228</v>
      </c>
      <c r="B332" s="1" t="s">
        <v>328</v>
      </c>
      <c r="C332" s="1" t="s">
        <v>329</v>
      </c>
      <c r="D332" s="1" t="s">
        <v>415</v>
      </c>
      <c r="E332" s="1" t="s">
        <v>416</v>
      </c>
    </row>
    <row r="333" spans="1:5" x14ac:dyDescent="0.25">
      <c r="A333">
        <v>231</v>
      </c>
      <c r="B333" s="1" t="s">
        <v>258</v>
      </c>
      <c r="C333" s="1" t="s">
        <v>259</v>
      </c>
      <c r="D333" s="1" t="s">
        <v>415</v>
      </c>
      <c r="E333" s="1" t="s">
        <v>416</v>
      </c>
    </row>
    <row r="334" spans="1:5" x14ac:dyDescent="0.25">
      <c r="A334">
        <v>239</v>
      </c>
      <c r="B334" s="1" t="s">
        <v>284</v>
      </c>
      <c r="C334" s="1" t="s">
        <v>285</v>
      </c>
      <c r="D334" s="1" t="s">
        <v>415</v>
      </c>
      <c r="E334" s="1" t="s">
        <v>416</v>
      </c>
    </row>
    <row r="335" spans="1:5" x14ac:dyDescent="0.25">
      <c r="A335">
        <v>247</v>
      </c>
      <c r="B335" s="1" t="s">
        <v>260</v>
      </c>
      <c r="C335" s="1" t="s">
        <v>261</v>
      </c>
      <c r="D335" s="1" t="s">
        <v>415</v>
      </c>
      <c r="E335" s="1" t="s">
        <v>416</v>
      </c>
    </row>
    <row r="336" spans="1:5" x14ac:dyDescent="0.25">
      <c r="A336">
        <v>262</v>
      </c>
      <c r="B336" s="1" t="s">
        <v>376</v>
      </c>
      <c r="C336" s="1" t="s">
        <v>377</v>
      </c>
      <c r="D336" s="1" t="s">
        <v>415</v>
      </c>
      <c r="E336" s="1" t="s">
        <v>416</v>
      </c>
    </row>
    <row r="337" spans="1:5" x14ac:dyDescent="0.25">
      <c r="A337">
        <v>264</v>
      </c>
      <c r="B337" s="1" t="s">
        <v>342</v>
      </c>
      <c r="C337" s="1" t="s">
        <v>343</v>
      </c>
      <c r="D337" s="1" t="s">
        <v>415</v>
      </c>
      <c r="E337" s="1" t="s">
        <v>416</v>
      </c>
    </row>
    <row r="338" spans="1:5" x14ac:dyDescent="0.25">
      <c r="A338">
        <v>269</v>
      </c>
      <c r="B338" s="1" t="s">
        <v>256</v>
      </c>
      <c r="C338" s="1" t="s">
        <v>257</v>
      </c>
      <c r="D338" s="1" t="s">
        <v>415</v>
      </c>
      <c r="E338" s="1" t="s">
        <v>416</v>
      </c>
    </row>
    <row r="339" spans="1:5" x14ac:dyDescent="0.25">
      <c r="A339">
        <v>272</v>
      </c>
      <c r="B339" s="1" t="s">
        <v>352</v>
      </c>
      <c r="C339" s="1" t="s">
        <v>353</v>
      </c>
      <c r="D339" s="1" t="s">
        <v>415</v>
      </c>
      <c r="E339" s="1" t="s">
        <v>416</v>
      </c>
    </row>
    <row r="340" spans="1:5" x14ac:dyDescent="0.25">
      <c r="A340">
        <v>285</v>
      </c>
      <c r="B340" s="1" t="s">
        <v>258</v>
      </c>
      <c r="C340" s="1" t="s">
        <v>259</v>
      </c>
      <c r="D340" s="1" t="s">
        <v>415</v>
      </c>
      <c r="E340" s="1" t="s">
        <v>416</v>
      </c>
    </row>
    <row r="341" spans="1:5" x14ac:dyDescent="0.25">
      <c r="A341">
        <v>288</v>
      </c>
      <c r="B341" s="1" t="s">
        <v>401</v>
      </c>
      <c r="C341" s="1" t="s">
        <v>402</v>
      </c>
      <c r="D341" s="1" t="s">
        <v>415</v>
      </c>
      <c r="E341" s="1" t="s">
        <v>416</v>
      </c>
    </row>
    <row r="342" spans="1:5" x14ac:dyDescent="0.25">
      <c r="A342">
        <v>299</v>
      </c>
      <c r="B342" s="1" t="s">
        <v>274</v>
      </c>
      <c r="C342" s="1" t="s">
        <v>275</v>
      </c>
      <c r="D342" s="1" t="s">
        <v>415</v>
      </c>
      <c r="E342" s="1" t="s">
        <v>416</v>
      </c>
    </row>
    <row r="343" spans="1:5" x14ac:dyDescent="0.25">
      <c r="A343">
        <v>312</v>
      </c>
      <c r="B343" s="1" t="s">
        <v>360</v>
      </c>
      <c r="C343" s="1" t="s">
        <v>361</v>
      </c>
      <c r="D343" s="1" t="s">
        <v>415</v>
      </c>
      <c r="E343" s="1" t="s">
        <v>416</v>
      </c>
    </row>
    <row r="344" spans="1:5" x14ac:dyDescent="0.25">
      <c r="A344">
        <v>316</v>
      </c>
      <c r="B344" s="1" t="s">
        <v>260</v>
      </c>
      <c r="C344" s="1" t="s">
        <v>261</v>
      </c>
      <c r="D344" s="1" t="s">
        <v>415</v>
      </c>
      <c r="E344" s="1" t="s">
        <v>416</v>
      </c>
    </row>
    <row r="345" spans="1:5" x14ac:dyDescent="0.25">
      <c r="A345">
        <v>323</v>
      </c>
      <c r="B345" s="1" t="s">
        <v>354</v>
      </c>
      <c r="C345" s="1" t="s">
        <v>355</v>
      </c>
      <c r="D345" s="1" t="s">
        <v>415</v>
      </c>
      <c r="E345" s="1" t="s">
        <v>416</v>
      </c>
    </row>
    <row r="346" spans="1:5" x14ac:dyDescent="0.25">
      <c r="A346">
        <v>324</v>
      </c>
      <c r="B346" s="1" t="s">
        <v>407</v>
      </c>
      <c r="C346" s="1" t="s">
        <v>408</v>
      </c>
      <c r="D346" s="1" t="s">
        <v>415</v>
      </c>
      <c r="E346" s="1" t="s">
        <v>416</v>
      </c>
    </row>
    <row r="347" spans="1:5" x14ac:dyDescent="0.25">
      <c r="A347">
        <v>326</v>
      </c>
      <c r="B347" s="1" t="s">
        <v>256</v>
      </c>
      <c r="C347" s="1" t="s">
        <v>257</v>
      </c>
      <c r="D347" s="1" t="s">
        <v>415</v>
      </c>
      <c r="E347" s="1" t="s">
        <v>416</v>
      </c>
    </row>
    <row r="348" spans="1:5" x14ac:dyDescent="0.25">
      <c r="A348">
        <v>332</v>
      </c>
      <c r="B348" s="1" t="s">
        <v>374</v>
      </c>
      <c r="C348" s="1" t="s">
        <v>375</v>
      </c>
      <c r="D348" s="1" t="s">
        <v>415</v>
      </c>
      <c r="E348" s="1" t="s">
        <v>416</v>
      </c>
    </row>
    <row r="349" spans="1:5" x14ac:dyDescent="0.25">
      <c r="A349">
        <v>334</v>
      </c>
      <c r="B349" s="1" t="s">
        <v>284</v>
      </c>
      <c r="C349" s="1" t="s">
        <v>285</v>
      </c>
      <c r="D349" s="1" t="s">
        <v>415</v>
      </c>
      <c r="E349" s="1" t="s">
        <v>416</v>
      </c>
    </row>
    <row r="350" spans="1:5" x14ac:dyDescent="0.25">
      <c r="A350">
        <v>340</v>
      </c>
      <c r="B350" s="1" t="s">
        <v>421</v>
      </c>
      <c r="C350" s="1" t="s">
        <v>422</v>
      </c>
      <c r="D350" s="1" t="s">
        <v>415</v>
      </c>
      <c r="E350" s="1" t="s">
        <v>416</v>
      </c>
    </row>
    <row r="351" spans="1:5" x14ac:dyDescent="0.25">
      <c r="A351">
        <v>358</v>
      </c>
      <c r="B351" s="1" t="s">
        <v>306</v>
      </c>
      <c r="C351" s="1" t="s">
        <v>307</v>
      </c>
      <c r="D351" s="1" t="s">
        <v>415</v>
      </c>
      <c r="E351" s="1" t="s">
        <v>416</v>
      </c>
    </row>
    <row r="352" spans="1:5" x14ac:dyDescent="0.25">
      <c r="A352">
        <v>362</v>
      </c>
      <c r="B352" s="1" t="s">
        <v>409</v>
      </c>
      <c r="C352" s="1" t="s">
        <v>410</v>
      </c>
      <c r="D352" s="1" t="s">
        <v>415</v>
      </c>
      <c r="E352" s="1" t="s">
        <v>416</v>
      </c>
    </row>
    <row r="353" spans="1:5" x14ac:dyDescent="0.25">
      <c r="A353">
        <v>369</v>
      </c>
      <c r="B353" s="1" t="s">
        <v>284</v>
      </c>
      <c r="C353" s="1" t="s">
        <v>285</v>
      </c>
      <c r="D353" s="1" t="s">
        <v>415</v>
      </c>
      <c r="E353" s="1" t="s">
        <v>416</v>
      </c>
    </row>
    <row r="354" spans="1:5" x14ac:dyDescent="0.25">
      <c r="A354">
        <v>371</v>
      </c>
      <c r="B354" s="1" t="s">
        <v>230</v>
      </c>
      <c r="C354" s="1" t="s">
        <v>231</v>
      </c>
      <c r="D354" s="1" t="s">
        <v>415</v>
      </c>
      <c r="E354" s="1" t="s">
        <v>416</v>
      </c>
    </row>
    <row r="355" spans="1:5" x14ac:dyDescent="0.25">
      <c r="A355">
        <v>375</v>
      </c>
      <c r="B355" s="1" t="s">
        <v>260</v>
      </c>
      <c r="C355" s="1" t="s">
        <v>261</v>
      </c>
      <c r="D355" s="1" t="s">
        <v>415</v>
      </c>
      <c r="E355" s="1" t="s">
        <v>416</v>
      </c>
    </row>
    <row r="356" spans="1:5" x14ac:dyDescent="0.25">
      <c r="A356">
        <v>379</v>
      </c>
      <c r="B356" s="1" t="s">
        <v>284</v>
      </c>
      <c r="C356" s="1" t="s">
        <v>285</v>
      </c>
      <c r="D356" s="1" t="s">
        <v>415</v>
      </c>
      <c r="E356" s="1" t="s">
        <v>416</v>
      </c>
    </row>
    <row r="357" spans="1:5" x14ac:dyDescent="0.25">
      <c r="A357">
        <v>394</v>
      </c>
      <c r="B357" s="1" t="s">
        <v>366</v>
      </c>
      <c r="C357" s="1" t="s">
        <v>367</v>
      </c>
      <c r="D357" s="1" t="s">
        <v>415</v>
      </c>
      <c r="E357" s="1" t="s">
        <v>416</v>
      </c>
    </row>
    <row r="358" spans="1:5" x14ac:dyDescent="0.25">
      <c r="A358">
        <v>397</v>
      </c>
      <c r="B358" s="1" t="s">
        <v>300</v>
      </c>
      <c r="C358" s="1" t="s">
        <v>301</v>
      </c>
      <c r="D358" s="1" t="s">
        <v>415</v>
      </c>
      <c r="E358" s="1" t="s">
        <v>416</v>
      </c>
    </row>
    <row r="359" spans="1:5" x14ac:dyDescent="0.25">
      <c r="A359">
        <v>398</v>
      </c>
      <c r="B359" s="1" t="s">
        <v>360</v>
      </c>
      <c r="C359" s="1" t="s">
        <v>361</v>
      </c>
      <c r="D359" s="1" t="s">
        <v>415</v>
      </c>
      <c r="E359" s="1" t="s">
        <v>416</v>
      </c>
    </row>
    <row r="360" spans="1:5" x14ac:dyDescent="0.25">
      <c r="A360">
        <v>410</v>
      </c>
      <c r="B360" s="1" t="s">
        <v>260</v>
      </c>
      <c r="C360" s="1" t="s">
        <v>261</v>
      </c>
      <c r="D360" s="1" t="s">
        <v>415</v>
      </c>
      <c r="E360" s="1" t="s">
        <v>416</v>
      </c>
    </row>
    <row r="361" spans="1:5" x14ac:dyDescent="0.25">
      <c r="A361">
        <v>417</v>
      </c>
      <c r="B361" s="1" t="s">
        <v>300</v>
      </c>
      <c r="C361" s="1" t="s">
        <v>301</v>
      </c>
      <c r="D361" s="1" t="s">
        <v>415</v>
      </c>
      <c r="E361" s="1" t="s">
        <v>416</v>
      </c>
    </row>
    <row r="362" spans="1:5" x14ac:dyDescent="0.25">
      <c r="A362">
        <v>430</v>
      </c>
      <c r="B362" s="1" t="s">
        <v>419</v>
      </c>
      <c r="C362" s="1" t="s">
        <v>420</v>
      </c>
      <c r="D362" s="1" t="s">
        <v>415</v>
      </c>
      <c r="E362" s="1" t="s">
        <v>416</v>
      </c>
    </row>
    <row r="363" spans="1:5" x14ac:dyDescent="0.25">
      <c r="A363">
        <v>435</v>
      </c>
      <c r="B363" s="1" t="s">
        <v>393</v>
      </c>
      <c r="C363" s="1" t="s">
        <v>394</v>
      </c>
      <c r="D363" s="1" t="s">
        <v>415</v>
      </c>
      <c r="E363" s="1" t="s">
        <v>416</v>
      </c>
    </row>
    <row r="364" spans="1:5" x14ac:dyDescent="0.25">
      <c r="A364">
        <v>444</v>
      </c>
      <c r="B364" s="1" t="s">
        <v>419</v>
      </c>
      <c r="C364" s="1" t="s">
        <v>420</v>
      </c>
      <c r="D364" s="1" t="s">
        <v>415</v>
      </c>
      <c r="E364" s="1" t="s">
        <v>416</v>
      </c>
    </row>
    <row r="365" spans="1:5" x14ac:dyDescent="0.25">
      <c r="A365">
        <v>446</v>
      </c>
      <c r="B365" s="1" t="s">
        <v>370</v>
      </c>
      <c r="C365" s="1" t="s">
        <v>371</v>
      </c>
      <c r="D365" s="1" t="s">
        <v>415</v>
      </c>
      <c r="E365" s="1" t="s">
        <v>416</v>
      </c>
    </row>
    <row r="366" spans="1:5" x14ac:dyDescent="0.25">
      <c r="A366">
        <v>448</v>
      </c>
      <c r="B366" s="1" t="s">
        <v>238</v>
      </c>
      <c r="C366" s="1" t="s">
        <v>239</v>
      </c>
      <c r="D366" s="1" t="s">
        <v>415</v>
      </c>
      <c r="E366" s="1" t="s">
        <v>416</v>
      </c>
    </row>
    <row r="367" spans="1:5" x14ac:dyDescent="0.25">
      <c r="A367">
        <v>449</v>
      </c>
      <c r="B367" s="1" t="s">
        <v>284</v>
      </c>
      <c r="C367" s="1" t="s">
        <v>285</v>
      </c>
      <c r="D367" s="1" t="s">
        <v>415</v>
      </c>
      <c r="E367" s="1" t="s">
        <v>416</v>
      </c>
    </row>
    <row r="368" spans="1:5" x14ac:dyDescent="0.25">
      <c r="A368">
        <v>450</v>
      </c>
      <c r="B368" s="1" t="s">
        <v>312</v>
      </c>
      <c r="C368" s="1" t="s">
        <v>313</v>
      </c>
      <c r="D368" s="1" t="s">
        <v>415</v>
      </c>
      <c r="E368" s="1" t="s">
        <v>416</v>
      </c>
    </row>
    <row r="369" spans="1:5" x14ac:dyDescent="0.25">
      <c r="A369">
        <v>456</v>
      </c>
      <c r="B369" s="1" t="s">
        <v>409</v>
      </c>
      <c r="C369" s="1" t="s">
        <v>410</v>
      </c>
      <c r="D369" s="1" t="s">
        <v>415</v>
      </c>
      <c r="E369" s="1" t="s">
        <v>416</v>
      </c>
    </row>
    <row r="370" spans="1:5" x14ac:dyDescent="0.25">
      <c r="A370">
        <v>463</v>
      </c>
      <c r="B370" s="1" t="s">
        <v>252</v>
      </c>
      <c r="C370" s="1" t="s">
        <v>253</v>
      </c>
      <c r="D370" s="1" t="s">
        <v>415</v>
      </c>
      <c r="E370" s="1" t="s">
        <v>416</v>
      </c>
    </row>
    <row r="371" spans="1:5" x14ac:dyDescent="0.25">
      <c r="A371">
        <v>467</v>
      </c>
      <c r="B371" s="1" t="s">
        <v>284</v>
      </c>
      <c r="C371" s="1" t="s">
        <v>285</v>
      </c>
      <c r="D371" s="1" t="s">
        <v>415</v>
      </c>
      <c r="E371" s="1" t="s">
        <v>416</v>
      </c>
    </row>
    <row r="372" spans="1:5" x14ac:dyDescent="0.25">
      <c r="A372">
        <v>475</v>
      </c>
      <c r="B372" s="1" t="s">
        <v>274</v>
      </c>
      <c r="C372" s="1" t="s">
        <v>275</v>
      </c>
      <c r="D372" s="1" t="s">
        <v>415</v>
      </c>
      <c r="E372" s="1" t="s">
        <v>416</v>
      </c>
    </row>
    <row r="373" spans="1:5" x14ac:dyDescent="0.25">
      <c r="A373">
        <v>496</v>
      </c>
      <c r="B373" s="1" t="s">
        <v>346</v>
      </c>
      <c r="C373" s="1" t="s">
        <v>347</v>
      </c>
      <c r="D373" s="1" t="s">
        <v>415</v>
      </c>
      <c r="E373" s="1" t="s">
        <v>416</v>
      </c>
    </row>
    <row r="374" spans="1:5" x14ac:dyDescent="0.25">
      <c r="A374">
        <v>497</v>
      </c>
      <c r="B374" s="1" t="s">
        <v>364</v>
      </c>
      <c r="C374" s="1" t="s">
        <v>365</v>
      </c>
      <c r="D374" s="1" t="s">
        <v>415</v>
      </c>
      <c r="E374" s="1" t="s">
        <v>416</v>
      </c>
    </row>
    <row r="375" spans="1:5" x14ac:dyDescent="0.25">
      <c r="A375">
        <v>501</v>
      </c>
      <c r="B375" s="1" t="s">
        <v>248</v>
      </c>
      <c r="C375" s="1" t="s">
        <v>249</v>
      </c>
      <c r="D375" s="1" t="s">
        <v>415</v>
      </c>
      <c r="E375" s="1" t="s">
        <v>416</v>
      </c>
    </row>
    <row r="376" spans="1:5" x14ac:dyDescent="0.25">
      <c r="A376">
        <v>508</v>
      </c>
      <c r="B376" s="1" t="s">
        <v>326</v>
      </c>
      <c r="C376" s="1" t="s">
        <v>327</v>
      </c>
      <c r="D376" s="1" t="s">
        <v>415</v>
      </c>
      <c r="E376" s="1" t="s">
        <v>416</v>
      </c>
    </row>
    <row r="377" spans="1:5" x14ac:dyDescent="0.25">
      <c r="A377">
        <v>516</v>
      </c>
      <c r="B377" s="1" t="s">
        <v>270</v>
      </c>
      <c r="C377" s="1" t="s">
        <v>271</v>
      </c>
      <c r="D377" s="1" t="s">
        <v>415</v>
      </c>
      <c r="E377" s="1" t="s">
        <v>416</v>
      </c>
    </row>
    <row r="378" spans="1:5" x14ac:dyDescent="0.25">
      <c r="A378">
        <v>519</v>
      </c>
      <c r="B378" s="1" t="s">
        <v>260</v>
      </c>
      <c r="C378" s="1" t="s">
        <v>261</v>
      </c>
      <c r="D378" s="1" t="s">
        <v>415</v>
      </c>
      <c r="E378" s="1" t="s">
        <v>416</v>
      </c>
    </row>
    <row r="379" spans="1:5" x14ac:dyDescent="0.25">
      <c r="A379">
        <v>530</v>
      </c>
      <c r="B379" s="1" t="s">
        <v>417</v>
      </c>
      <c r="C379" s="1" t="s">
        <v>418</v>
      </c>
      <c r="D379" s="1" t="s">
        <v>415</v>
      </c>
      <c r="E379" s="1" t="s">
        <v>416</v>
      </c>
    </row>
    <row r="380" spans="1:5" x14ac:dyDescent="0.25">
      <c r="A380">
        <v>538</v>
      </c>
      <c r="B380" s="1" t="s">
        <v>306</v>
      </c>
      <c r="C380" s="1" t="s">
        <v>307</v>
      </c>
      <c r="D380" s="1" t="s">
        <v>415</v>
      </c>
      <c r="E380" s="1" t="s">
        <v>416</v>
      </c>
    </row>
    <row r="381" spans="1:5" x14ac:dyDescent="0.25">
      <c r="A381">
        <v>547</v>
      </c>
      <c r="B381" s="1" t="s">
        <v>232</v>
      </c>
      <c r="C381" s="1" t="s">
        <v>233</v>
      </c>
      <c r="D381" s="1" t="s">
        <v>415</v>
      </c>
      <c r="E381" s="1" t="s">
        <v>416</v>
      </c>
    </row>
    <row r="382" spans="1:5" x14ac:dyDescent="0.25">
      <c r="A382">
        <v>551</v>
      </c>
      <c r="B382" s="1" t="s">
        <v>368</v>
      </c>
      <c r="C382" s="1" t="s">
        <v>369</v>
      </c>
      <c r="D382" s="1" t="s">
        <v>415</v>
      </c>
      <c r="E382" s="1" t="s">
        <v>416</v>
      </c>
    </row>
    <row r="383" spans="1:5" x14ac:dyDescent="0.25">
      <c r="A383">
        <v>557</v>
      </c>
      <c r="B383" s="1" t="s">
        <v>298</v>
      </c>
      <c r="C383" s="1" t="s">
        <v>299</v>
      </c>
      <c r="D383" s="1" t="s">
        <v>415</v>
      </c>
      <c r="E383" s="1" t="s">
        <v>416</v>
      </c>
    </row>
    <row r="384" spans="1:5" x14ac:dyDescent="0.25">
      <c r="A384">
        <v>562</v>
      </c>
      <c r="B384" s="1" t="s">
        <v>382</v>
      </c>
      <c r="C384" s="1" t="s">
        <v>383</v>
      </c>
      <c r="D384" s="1" t="s">
        <v>415</v>
      </c>
      <c r="E384" s="1" t="s">
        <v>416</v>
      </c>
    </row>
    <row r="385" spans="1:5" x14ac:dyDescent="0.25">
      <c r="A385">
        <v>564</v>
      </c>
      <c r="B385" s="1" t="s">
        <v>300</v>
      </c>
      <c r="C385" s="1" t="s">
        <v>301</v>
      </c>
      <c r="D385" s="1" t="s">
        <v>415</v>
      </c>
      <c r="E385" s="1" t="s">
        <v>416</v>
      </c>
    </row>
    <row r="386" spans="1:5" x14ac:dyDescent="0.25">
      <c r="A386">
        <v>575</v>
      </c>
      <c r="B386" s="1" t="s">
        <v>326</v>
      </c>
      <c r="C386" s="1" t="s">
        <v>327</v>
      </c>
      <c r="D386" s="1" t="s">
        <v>415</v>
      </c>
      <c r="E386" s="1" t="s">
        <v>416</v>
      </c>
    </row>
    <row r="387" spans="1:5" x14ac:dyDescent="0.25">
      <c r="A387">
        <v>583</v>
      </c>
      <c r="B387" s="1" t="s">
        <v>282</v>
      </c>
      <c r="C387" s="1" t="s">
        <v>283</v>
      </c>
      <c r="D387" s="1" t="s">
        <v>415</v>
      </c>
      <c r="E387" s="1" t="s">
        <v>416</v>
      </c>
    </row>
    <row r="388" spans="1:5" x14ac:dyDescent="0.25">
      <c r="A388">
        <v>584</v>
      </c>
      <c r="B388" s="1" t="s">
        <v>300</v>
      </c>
      <c r="C388" s="1" t="s">
        <v>301</v>
      </c>
      <c r="D388" s="1" t="s">
        <v>415</v>
      </c>
      <c r="E388" s="1" t="s">
        <v>416</v>
      </c>
    </row>
    <row r="389" spans="1:5" x14ac:dyDescent="0.25">
      <c r="A389">
        <v>585</v>
      </c>
      <c r="B389" s="1" t="s">
        <v>280</v>
      </c>
      <c r="C389" s="1" t="s">
        <v>281</v>
      </c>
      <c r="D389" s="1" t="s">
        <v>415</v>
      </c>
      <c r="E389" s="1" t="s">
        <v>416</v>
      </c>
    </row>
    <row r="390" spans="1:5" x14ac:dyDescent="0.25">
      <c r="A390">
        <v>587</v>
      </c>
      <c r="B390" s="1" t="s">
        <v>340</v>
      </c>
      <c r="C390" s="1" t="s">
        <v>341</v>
      </c>
      <c r="D390" s="1" t="s">
        <v>415</v>
      </c>
      <c r="E390" s="1" t="s">
        <v>416</v>
      </c>
    </row>
    <row r="391" spans="1:5" x14ac:dyDescent="0.25">
      <c r="A391">
        <v>595</v>
      </c>
      <c r="B391" s="1" t="s">
        <v>378</v>
      </c>
      <c r="C391" s="1" t="s">
        <v>379</v>
      </c>
      <c r="D391" s="1" t="s">
        <v>415</v>
      </c>
      <c r="E391" s="1" t="s">
        <v>416</v>
      </c>
    </row>
    <row r="392" spans="1:5" x14ac:dyDescent="0.25">
      <c r="A392">
        <v>599</v>
      </c>
      <c r="B392" s="1" t="s">
        <v>316</v>
      </c>
      <c r="C392" s="1" t="s">
        <v>317</v>
      </c>
      <c r="D392" s="1" t="s">
        <v>415</v>
      </c>
      <c r="E392" s="1" t="s">
        <v>416</v>
      </c>
    </row>
    <row r="393" spans="1:5" x14ac:dyDescent="0.25">
      <c r="A393">
        <v>600</v>
      </c>
      <c r="B393" s="1" t="s">
        <v>382</v>
      </c>
      <c r="C393" s="1" t="s">
        <v>383</v>
      </c>
      <c r="D393" s="1" t="s">
        <v>415</v>
      </c>
      <c r="E393" s="1" t="s">
        <v>416</v>
      </c>
    </row>
    <row r="394" spans="1:5" x14ac:dyDescent="0.25">
      <c r="A394">
        <v>603</v>
      </c>
      <c r="B394" s="1" t="s">
        <v>272</v>
      </c>
      <c r="C394" s="1" t="s">
        <v>273</v>
      </c>
      <c r="D394" s="1" t="s">
        <v>415</v>
      </c>
      <c r="E394" s="1" t="s">
        <v>416</v>
      </c>
    </row>
    <row r="395" spans="1:5" x14ac:dyDescent="0.25">
      <c r="A395">
        <v>612</v>
      </c>
      <c r="B395" s="1" t="s">
        <v>228</v>
      </c>
      <c r="C395" s="1" t="s">
        <v>229</v>
      </c>
      <c r="D395" s="1" t="s">
        <v>415</v>
      </c>
      <c r="E395" s="1" t="s">
        <v>416</v>
      </c>
    </row>
    <row r="396" spans="1:5" x14ac:dyDescent="0.25">
      <c r="A396">
        <v>632</v>
      </c>
      <c r="B396" s="1" t="s">
        <v>300</v>
      </c>
      <c r="C396" s="1" t="s">
        <v>301</v>
      </c>
      <c r="D396" s="1" t="s">
        <v>415</v>
      </c>
      <c r="E396" s="1" t="s">
        <v>416</v>
      </c>
    </row>
    <row r="397" spans="1:5" x14ac:dyDescent="0.25">
      <c r="A397">
        <v>635</v>
      </c>
      <c r="B397" s="1" t="s">
        <v>411</v>
      </c>
      <c r="C397" s="1" t="s">
        <v>412</v>
      </c>
      <c r="D397" s="1" t="s">
        <v>415</v>
      </c>
      <c r="E397" s="1" t="s">
        <v>416</v>
      </c>
    </row>
    <row r="398" spans="1:5" x14ac:dyDescent="0.25">
      <c r="A398">
        <v>652</v>
      </c>
      <c r="B398" s="1" t="s">
        <v>362</v>
      </c>
      <c r="C398" s="1" t="s">
        <v>363</v>
      </c>
      <c r="D398" s="1" t="s">
        <v>415</v>
      </c>
      <c r="E398" s="1" t="s">
        <v>416</v>
      </c>
    </row>
    <row r="399" spans="1:5" x14ac:dyDescent="0.25">
      <c r="A399">
        <v>653</v>
      </c>
      <c r="B399" s="1" t="s">
        <v>290</v>
      </c>
      <c r="C399" s="1" t="s">
        <v>291</v>
      </c>
      <c r="D399" s="1" t="s">
        <v>415</v>
      </c>
      <c r="E399" s="1" t="s">
        <v>416</v>
      </c>
    </row>
    <row r="400" spans="1:5" x14ac:dyDescent="0.25">
      <c r="A400">
        <v>707</v>
      </c>
      <c r="B400" s="1" t="s">
        <v>352</v>
      </c>
      <c r="C400" s="1" t="s">
        <v>353</v>
      </c>
      <c r="D400" s="1" t="s">
        <v>415</v>
      </c>
      <c r="E400" s="1" t="s">
        <v>416</v>
      </c>
    </row>
    <row r="401" spans="1:5" x14ac:dyDescent="0.25">
      <c r="A401">
        <v>722</v>
      </c>
      <c r="B401" s="1" t="s">
        <v>350</v>
      </c>
      <c r="C401" s="1" t="s">
        <v>351</v>
      </c>
      <c r="D401" s="1" t="s">
        <v>415</v>
      </c>
      <c r="E401" s="1" t="s">
        <v>416</v>
      </c>
    </row>
    <row r="402" spans="1:5" x14ac:dyDescent="0.25">
      <c r="A402">
        <v>726</v>
      </c>
      <c r="B402" s="1" t="s">
        <v>274</v>
      </c>
      <c r="C402" s="1" t="s">
        <v>275</v>
      </c>
      <c r="D402" s="1" t="s">
        <v>415</v>
      </c>
      <c r="E402" s="1" t="s">
        <v>416</v>
      </c>
    </row>
    <row r="403" spans="1:5" x14ac:dyDescent="0.25">
      <c r="A403">
        <v>733</v>
      </c>
      <c r="B403" s="1" t="s">
        <v>292</v>
      </c>
      <c r="C403" s="1" t="s">
        <v>293</v>
      </c>
      <c r="D403" s="1" t="s">
        <v>415</v>
      </c>
      <c r="E403" s="1" t="s">
        <v>416</v>
      </c>
    </row>
    <row r="404" spans="1:5" x14ac:dyDescent="0.25">
      <c r="A404">
        <v>745</v>
      </c>
      <c r="B404" s="1" t="s">
        <v>310</v>
      </c>
      <c r="C404" s="1" t="s">
        <v>311</v>
      </c>
      <c r="D404" s="1" t="s">
        <v>415</v>
      </c>
      <c r="E404" s="1" t="s">
        <v>416</v>
      </c>
    </row>
    <row r="405" spans="1:5" x14ac:dyDescent="0.25">
      <c r="A405">
        <v>751</v>
      </c>
      <c r="B405" s="1" t="s">
        <v>294</v>
      </c>
      <c r="C405" s="1" t="s">
        <v>295</v>
      </c>
      <c r="D405" s="1" t="s">
        <v>415</v>
      </c>
      <c r="E405" s="1" t="s">
        <v>416</v>
      </c>
    </row>
    <row r="406" spans="1:5" x14ac:dyDescent="0.25">
      <c r="A406">
        <v>754</v>
      </c>
      <c r="B406" s="1" t="s">
        <v>378</v>
      </c>
      <c r="C406" s="1" t="s">
        <v>379</v>
      </c>
      <c r="D406" s="1" t="s">
        <v>415</v>
      </c>
      <c r="E406" s="1" t="s">
        <v>416</v>
      </c>
    </row>
    <row r="407" spans="1:5" x14ac:dyDescent="0.25">
      <c r="A407">
        <v>756</v>
      </c>
      <c r="B407" s="1" t="s">
        <v>320</v>
      </c>
      <c r="C407" s="1" t="s">
        <v>321</v>
      </c>
      <c r="D407" s="1" t="s">
        <v>415</v>
      </c>
      <c r="E407" s="1" t="s">
        <v>416</v>
      </c>
    </row>
    <row r="408" spans="1:5" x14ac:dyDescent="0.25">
      <c r="A408">
        <v>762</v>
      </c>
      <c r="B408" s="1" t="s">
        <v>298</v>
      </c>
      <c r="C408" s="1" t="s">
        <v>299</v>
      </c>
      <c r="D408" s="1" t="s">
        <v>415</v>
      </c>
      <c r="E408" s="1" t="s">
        <v>416</v>
      </c>
    </row>
    <row r="409" spans="1:5" x14ac:dyDescent="0.25">
      <c r="A409">
        <v>776</v>
      </c>
      <c r="B409" s="1" t="s">
        <v>405</v>
      </c>
      <c r="C409" s="1" t="s">
        <v>406</v>
      </c>
      <c r="D409" s="1" t="s">
        <v>415</v>
      </c>
      <c r="E409" s="1" t="s">
        <v>416</v>
      </c>
    </row>
    <row r="410" spans="1:5" x14ac:dyDescent="0.25">
      <c r="A410">
        <v>778</v>
      </c>
      <c r="B410" s="1" t="s">
        <v>348</v>
      </c>
      <c r="C410" s="1" t="s">
        <v>349</v>
      </c>
      <c r="D410" s="1" t="s">
        <v>415</v>
      </c>
      <c r="E410" s="1" t="s">
        <v>416</v>
      </c>
    </row>
    <row r="411" spans="1:5" x14ac:dyDescent="0.25">
      <c r="A411">
        <v>783</v>
      </c>
      <c r="B411" s="1" t="s">
        <v>270</v>
      </c>
      <c r="C411" s="1" t="s">
        <v>271</v>
      </c>
      <c r="D411" s="1" t="s">
        <v>415</v>
      </c>
      <c r="E411" s="1" t="s">
        <v>416</v>
      </c>
    </row>
    <row r="412" spans="1:5" x14ac:dyDescent="0.25">
      <c r="A412">
        <v>785</v>
      </c>
      <c r="B412" s="1" t="s">
        <v>282</v>
      </c>
      <c r="C412" s="1" t="s">
        <v>283</v>
      </c>
      <c r="D412" s="1" t="s">
        <v>415</v>
      </c>
      <c r="E412" s="1" t="s">
        <v>416</v>
      </c>
    </row>
    <row r="413" spans="1:5" x14ac:dyDescent="0.25">
      <c r="A413">
        <v>801</v>
      </c>
      <c r="B413" s="1" t="s">
        <v>308</v>
      </c>
      <c r="C413" s="1" t="s">
        <v>309</v>
      </c>
      <c r="D413" s="1" t="s">
        <v>415</v>
      </c>
      <c r="E413" s="1" t="s">
        <v>416</v>
      </c>
    </row>
    <row r="414" spans="1:5" x14ac:dyDescent="0.25">
      <c r="A414">
        <v>805</v>
      </c>
      <c r="B414" s="1" t="s">
        <v>336</v>
      </c>
      <c r="C414" s="1" t="s">
        <v>337</v>
      </c>
      <c r="D414" s="1" t="s">
        <v>415</v>
      </c>
      <c r="E414" s="1" t="s">
        <v>416</v>
      </c>
    </row>
    <row r="415" spans="1:5" x14ac:dyDescent="0.25">
      <c r="A415">
        <v>828</v>
      </c>
      <c r="B415" s="1" t="s">
        <v>411</v>
      </c>
      <c r="C415" s="1" t="s">
        <v>412</v>
      </c>
      <c r="D415" s="1" t="s">
        <v>415</v>
      </c>
      <c r="E415" s="1" t="s">
        <v>416</v>
      </c>
    </row>
    <row r="416" spans="1:5" x14ac:dyDescent="0.25">
      <c r="A416">
        <v>839</v>
      </c>
      <c r="B416" s="1" t="s">
        <v>368</v>
      </c>
      <c r="C416" s="1" t="s">
        <v>369</v>
      </c>
      <c r="D416" s="1" t="s">
        <v>415</v>
      </c>
      <c r="E416" s="1" t="s">
        <v>416</v>
      </c>
    </row>
    <row r="417" spans="1:5" x14ac:dyDescent="0.25">
      <c r="A417">
        <v>840</v>
      </c>
      <c r="B417" s="1" t="s">
        <v>276</v>
      </c>
      <c r="C417" s="1" t="s">
        <v>277</v>
      </c>
      <c r="D417" s="1" t="s">
        <v>415</v>
      </c>
      <c r="E417" s="1" t="s">
        <v>416</v>
      </c>
    </row>
    <row r="418" spans="1:5" x14ac:dyDescent="0.25">
      <c r="A418">
        <v>841</v>
      </c>
      <c r="B418" s="1" t="s">
        <v>391</v>
      </c>
      <c r="C418" s="1" t="s">
        <v>392</v>
      </c>
      <c r="D418" s="1" t="s">
        <v>415</v>
      </c>
      <c r="E418" s="1" t="s">
        <v>416</v>
      </c>
    </row>
    <row r="419" spans="1:5" x14ac:dyDescent="0.25">
      <c r="A419">
        <v>846</v>
      </c>
      <c r="B419" s="1" t="s">
        <v>242</v>
      </c>
      <c r="C419" s="1" t="s">
        <v>243</v>
      </c>
      <c r="D419" s="1" t="s">
        <v>415</v>
      </c>
      <c r="E419" s="1" t="s">
        <v>416</v>
      </c>
    </row>
    <row r="420" spans="1:5" x14ac:dyDescent="0.25">
      <c r="A420">
        <v>850</v>
      </c>
      <c r="B420" s="1" t="s">
        <v>344</v>
      </c>
      <c r="C420" s="1" t="s">
        <v>345</v>
      </c>
      <c r="D420" s="1" t="s">
        <v>415</v>
      </c>
      <c r="E420" s="1" t="s">
        <v>416</v>
      </c>
    </row>
    <row r="421" spans="1:5" x14ac:dyDescent="0.25">
      <c r="A421">
        <v>851</v>
      </c>
      <c r="B421" s="1" t="s">
        <v>322</v>
      </c>
      <c r="C421" s="1" t="s">
        <v>323</v>
      </c>
      <c r="D421" s="1" t="s">
        <v>415</v>
      </c>
      <c r="E421" s="1" t="s">
        <v>416</v>
      </c>
    </row>
    <row r="422" spans="1:5" x14ac:dyDescent="0.25">
      <c r="A422">
        <v>853</v>
      </c>
      <c r="B422" s="1" t="s">
        <v>242</v>
      </c>
      <c r="C422" s="1" t="s">
        <v>243</v>
      </c>
      <c r="D422" s="1" t="s">
        <v>415</v>
      </c>
      <c r="E422" s="1" t="s">
        <v>416</v>
      </c>
    </row>
    <row r="423" spans="1:5" x14ac:dyDescent="0.25">
      <c r="A423">
        <v>855</v>
      </c>
      <c r="B423" s="1" t="s">
        <v>264</v>
      </c>
      <c r="C423" s="1" t="s">
        <v>265</v>
      </c>
      <c r="D423" s="1" t="s">
        <v>415</v>
      </c>
      <c r="E423" s="1" t="s">
        <v>416</v>
      </c>
    </row>
    <row r="424" spans="1:5" x14ac:dyDescent="0.25">
      <c r="A424">
        <v>871</v>
      </c>
      <c r="B424" s="1" t="s">
        <v>380</v>
      </c>
      <c r="C424" s="1" t="s">
        <v>381</v>
      </c>
      <c r="D424" s="1" t="s">
        <v>415</v>
      </c>
      <c r="E424" s="1" t="s">
        <v>416</v>
      </c>
    </row>
    <row r="425" spans="1:5" x14ac:dyDescent="0.25">
      <c r="A425">
        <v>877</v>
      </c>
      <c r="B425" s="1" t="s">
        <v>362</v>
      </c>
      <c r="C425" s="1" t="s">
        <v>363</v>
      </c>
      <c r="D425" s="1" t="s">
        <v>415</v>
      </c>
      <c r="E425" s="1" t="s">
        <v>416</v>
      </c>
    </row>
    <row r="426" spans="1:5" x14ac:dyDescent="0.25">
      <c r="A426">
        <v>879</v>
      </c>
      <c r="B426" s="1" t="s">
        <v>334</v>
      </c>
      <c r="C426" s="1" t="s">
        <v>335</v>
      </c>
      <c r="D426" s="1" t="s">
        <v>415</v>
      </c>
      <c r="E426" s="1" t="s">
        <v>416</v>
      </c>
    </row>
    <row r="427" spans="1:5" x14ac:dyDescent="0.25">
      <c r="A427">
        <v>909</v>
      </c>
      <c r="B427" s="1" t="s">
        <v>352</v>
      </c>
      <c r="C427" s="1" t="s">
        <v>353</v>
      </c>
      <c r="D427" s="1" t="s">
        <v>415</v>
      </c>
      <c r="E427" s="1" t="s">
        <v>416</v>
      </c>
    </row>
    <row r="428" spans="1:5" x14ac:dyDescent="0.25">
      <c r="A428">
        <v>910</v>
      </c>
      <c r="B428" s="1" t="s">
        <v>260</v>
      </c>
      <c r="C428" s="1" t="s">
        <v>261</v>
      </c>
      <c r="D428" s="1" t="s">
        <v>415</v>
      </c>
      <c r="E428" s="1" t="s">
        <v>416</v>
      </c>
    </row>
    <row r="429" spans="1:5" x14ac:dyDescent="0.25">
      <c r="A429">
        <v>934</v>
      </c>
      <c r="B429" s="1" t="s">
        <v>276</v>
      </c>
      <c r="C429" s="1" t="s">
        <v>277</v>
      </c>
      <c r="D429" s="1" t="s">
        <v>415</v>
      </c>
      <c r="E429" s="1" t="s">
        <v>416</v>
      </c>
    </row>
    <row r="430" spans="1:5" x14ac:dyDescent="0.25">
      <c r="A430">
        <v>941</v>
      </c>
      <c r="B430" s="1" t="s">
        <v>286</v>
      </c>
      <c r="C430" s="1" t="s">
        <v>287</v>
      </c>
      <c r="D430" s="1" t="s">
        <v>415</v>
      </c>
      <c r="E430" s="1" t="s">
        <v>416</v>
      </c>
    </row>
    <row r="431" spans="1:5" x14ac:dyDescent="0.25">
      <c r="A431">
        <v>942</v>
      </c>
      <c r="B431" s="1" t="s">
        <v>310</v>
      </c>
      <c r="C431" s="1" t="s">
        <v>311</v>
      </c>
      <c r="D431" s="1" t="s">
        <v>415</v>
      </c>
      <c r="E431" s="1" t="s">
        <v>416</v>
      </c>
    </row>
    <row r="432" spans="1:5" x14ac:dyDescent="0.25">
      <c r="A432">
        <v>953</v>
      </c>
      <c r="B432" s="1" t="s">
        <v>304</v>
      </c>
      <c r="C432" s="1" t="s">
        <v>305</v>
      </c>
      <c r="D432" s="1" t="s">
        <v>415</v>
      </c>
      <c r="E432" s="1" t="s">
        <v>416</v>
      </c>
    </row>
    <row r="433" spans="1:5" x14ac:dyDescent="0.25">
      <c r="A433">
        <v>959</v>
      </c>
      <c r="B433" s="1" t="s">
        <v>336</v>
      </c>
      <c r="C433" s="1" t="s">
        <v>337</v>
      </c>
      <c r="D433" s="1" t="s">
        <v>415</v>
      </c>
      <c r="E433" s="1" t="s">
        <v>416</v>
      </c>
    </row>
    <row r="434" spans="1:5" x14ac:dyDescent="0.25">
      <c r="A434">
        <v>974</v>
      </c>
      <c r="B434" s="1" t="s">
        <v>224</v>
      </c>
      <c r="C434" s="1" t="s">
        <v>225</v>
      </c>
      <c r="D434" s="1" t="s">
        <v>415</v>
      </c>
      <c r="E434" s="1" t="s">
        <v>416</v>
      </c>
    </row>
    <row r="435" spans="1:5" x14ac:dyDescent="0.25">
      <c r="A435">
        <v>988</v>
      </c>
      <c r="B435" s="1" t="s">
        <v>240</v>
      </c>
      <c r="C435" s="1" t="s">
        <v>241</v>
      </c>
      <c r="D435" s="1" t="s">
        <v>415</v>
      </c>
      <c r="E435" s="1" t="s">
        <v>416</v>
      </c>
    </row>
    <row r="436" spans="1:5" x14ac:dyDescent="0.25">
      <c r="A436">
        <v>992</v>
      </c>
      <c r="B436" s="1" t="s">
        <v>411</v>
      </c>
      <c r="C436" s="1" t="s">
        <v>412</v>
      </c>
      <c r="D436" s="1" t="s">
        <v>415</v>
      </c>
      <c r="E436" s="1" t="s">
        <v>416</v>
      </c>
    </row>
    <row r="437" spans="1:5" x14ac:dyDescent="0.25">
      <c r="A437">
        <v>995</v>
      </c>
      <c r="B437" s="1" t="s">
        <v>288</v>
      </c>
      <c r="C437" s="1" t="s">
        <v>289</v>
      </c>
      <c r="D437" s="1" t="s">
        <v>415</v>
      </c>
      <c r="E437" s="1" t="s">
        <v>416</v>
      </c>
    </row>
    <row r="438" spans="1:5" x14ac:dyDescent="0.25">
      <c r="A438">
        <v>3</v>
      </c>
      <c r="B438" s="1" t="s">
        <v>220</v>
      </c>
      <c r="C438" s="1" t="s">
        <v>221</v>
      </c>
      <c r="D438" s="1" t="s">
        <v>415</v>
      </c>
      <c r="E438" s="1" t="s">
        <v>423</v>
      </c>
    </row>
    <row r="439" spans="1:5" x14ac:dyDescent="0.25">
      <c r="A439">
        <v>27</v>
      </c>
      <c r="B439" s="1" t="s">
        <v>286</v>
      </c>
      <c r="C439" s="1" t="s">
        <v>287</v>
      </c>
      <c r="D439" s="1" t="s">
        <v>415</v>
      </c>
      <c r="E439" s="1" t="s">
        <v>423</v>
      </c>
    </row>
    <row r="440" spans="1:5" x14ac:dyDescent="0.25">
      <c r="A440">
        <v>28</v>
      </c>
      <c r="B440" s="1" t="s">
        <v>306</v>
      </c>
      <c r="C440" s="1" t="s">
        <v>307</v>
      </c>
      <c r="D440" s="1" t="s">
        <v>415</v>
      </c>
      <c r="E440" s="1" t="s">
        <v>423</v>
      </c>
    </row>
    <row r="441" spans="1:5" x14ac:dyDescent="0.25">
      <c r="A441">
        <v>33</v>
      </c>
      <c r="B441" s="1" t="s">
        <v>300</v>
      </c>
      <c r="C441" s="1" t="s">
        <v>301</v>
      </c>
      <c r="D441" s="1" t="s">
        <v>415</v>
      </c>
      <c r="E441" s="1" t="s">
        <v>423</v>
      </c>
    </row>
    <row r="442" spans="1:5" x14ac:dyDescent="0.25">
      <c r="A442">
        <v>68</v>
      </c>
      <c r="B442" s="1" t="s">
        <v>236</v>
      </c>
      <c r="C442" s="1" t="s">
        <v>237</v>
      </c>
      <c r="D442" s="1" t="s">
        <v>415</v>
      </c>
      <c r="E442" s="1" t="s">
        <v>423</v>
      </c>
    </row>
    <row r="443" spans="1:5" x14ac:dyDescent="0.25">
      <c r="A443">
        <v>70</v>
      </c>
      <c r="B443" s="1" t="s">
        <v>328</v>
      </c>
      <c r="C443" s="1" t="s">
        <v>329</v>
      </c>
      <c r="D443" s="1" t="s">
        <v>415</v>
      </c>
      <c r="E443" s="1" t="s">
        <v>423</v>
      </c>
    </row>
    <row r="444" spans="1:5" x14ac:dyDescent="0.25">
      <c r="A444">
        <v>86</v>
      </c>
      <c r="B444" s="1" t="s">
        <v>370</v>
      </c>
      <c r="C444" s="1" t="s">
        <v>371</v>
      </c>
      <c r="D444" s="1" t="s">
        <v>415</v>
      </c>
      <c r="E444" s="1" t="s">
        <v>423</v>
      </c>
    </row>
    <row r="445" spans="1:5" x14ac:dyDescent="0.25">
      <c r="A445">
        <v>101</v>
      </c>
      <c r="B445" s="1" t="s">
        <v>266</v>
      </c>
      <c r="C445" s="1" t="s">
        <v>267</v>
      </c>
      <c r="D445" s="1" t="s">
        <v>415</v>
      </c>
      <c r="E445" s="1" t="s">
        <v>423</v>
      </c>
    </row>
    <row r="446" spans="1:5" x14ac:dyDescent="0.25">
      <c r="A446">
        <v>105</v>
      </c>
      <c r="B446" s="1" t="s">
        <v>360</v>
      </c>
      <c r="C446" s="1" t="s">
        <v>361</v>
      </c>
      <c r="D446" s="1" t="s">
        <v>415</v>
      </c>
      <c r="E446" s="1" t="s">
        <v>423</v>
      </c>
    </row>
    <row r="447" spans="1:5" x14ac:dyDescent="0.25">
      <c r="A447">
        <v>110</v>
      </c>
      <c r="B447" s="1" t="s">
        <v>326</v>
      </c>
      <c r="C447" s="1" t="s">
        <v>327</v>
      </c>
      <c r="D447" s="1" t="s">
        <v>415</v>
      </c>
      <c r="E447" s="1" t="s">
        <v>423</v>
      </c>
    </row>
    <row r="448" spans="1:5" x14ac:dyDescent="0.25">
      <c r="A448">
        <v>112</v>
      </c>
      <c r="B448" s="1" t="s">
        <v>358</v>
      </c>
      <c r="C448" s="1" t="s">
        <v>359</v>
      </c>
      <c r="D448" s="1" t="s">
        <v>415</v>
      </c>
      <c r="E448" s="1" t="s">
        <v>423</v>
      </c>
    </row>
    <row r="449" spans="1:5" x14ac:dyDescent="0.25">
      <c r="A449">
        <v>113</v>
      </c>
      <c r="B449" s="1" t="s">
        <v>292</v>
      </c>
      <c r="C449" s="1" t="s">
        <v>293</v>
      </c>
      <c r="D449" s="1" t="s">
        <v>415</v>
      </c>
      <c r="E449" s="1" t="s">
        <v>423</v>
      </c>
    </row>
    <row r="450" spans="1:5" x14ac:dyDescent="0.25">
      <c r="A450">
        <v>127</v>
      </c>
      <c r="B450" s="1" t="s">
        <v>372</v>
      </c>
      <c r="C450" s="1" t="s">
        <v>373</v>
      </c>
      <c r="D450" s="1" t="s">
        <v>415</v>
      </c>
      <c r="E450" s="1" t="s">
        <v>423</v>
      </c>
    </row>
    <row r="451" spans="1:5" x14ac:dyDescent="0.25">
      <c r="A451">
        <v>145</v>
      </c>
      <c r="B451" s="1" t="s">
        <v>332</v>
      </c>
      <c r="C451" s="1" t="s">
        <v>333</v>
      </c>
      <c r="D451" s="1" t="s">
        <v>415</v>
      </c>
      <c r="E451" s="1" t="s">
        <v>423</v>
      </c>
    </row>
    <row r="452" spans="1:5" x14ac:dyDescent="0.25">
      <c r="A452">
        <v>155</v>
      </c>
      <c r="B452" s="1" t="s">
        <v>413</v>
      </c>
      <c r="C452" s="1" t="s">
        <v>414</v>
      </c>
      <c r="D452" s="1" t="s">
        <v>415</v>
      </c>
      <c r="E452" s="1" t="s">
        <v>423</v>
      </c>
    </row>
    <row r="453" spans="1:5" x14ac:dyDescent="0.25">
      <c r="A453">
        <v>160</v>
      </c>
      <c r="B453" s="1" t="s">
        <v>405</v>
      </c>
      <c r="C453" s="1" t="s">
        <v>406</v>
      </c>
      <c r="D453" s="1" t="s">
        <v>415</v>
      </c>
      <c r="E453" s="1" t="s">
        <v>423</v>
      </c>
    </row>
    <row r="454" spans="1:5" x14ac:dyDescent="0.25">
      <c r="A454">
        <v>168</v>
      </c>
      <c r="B454" s="1" t="s">
        <v>238</v>
      </c>
      <c r="C454" s="1" t="s">
        <v>239</v>
      </c>
      <c r="D454" s="1" t="s">
        <v>415</v>
      </c>
      <c r="E454" s="1" t="s">
        <v>423</v>
      </c>
    </row>
    <row r="455" spans="1:5" x14ac:dyDescent="0.25">
      <c r="A455">
        <v>173</v>
      </c>
      <c r="B455" s="1" t="s">
        <v>334</v>
      </c>
      <c r="C455" s="1" t="s">
        <v>335</v>
      </c>
      <c r="D455" s="1" t="s">
        <v>415</v>
      </c>
      <c r="E455" s="1" t="s">
        <v>423</v>
      </c>
    </row>
    <row r="456" spans="1:5" x14ac:dyDescent="0.25">
      <c r="A456">
        <v>174</v>
      </c>
      <c r="B456" s="1" t="s">
        <v>378</v>
      </c>
      <c r="C456" s="1" t="s">
        <v>379</v>
      </c>
      <c r="D456" s="1" t="s">
        <v>415</v>
      </c>
      <c r="E456" s="1" t="s">
        <v>423</v>
      </c>
    </row>
    <row r="457" spans="1:5" x14ac:dyDescent="0.25">
      <c r="A457">
        <v>182</v>
      </c>
      <c r="B457" s="1" t="s">
        <v>417</v>
      </c>
      <c r="C457" s="1" t="s">
        <v>418</v>
      </c>
      <c r="D457" s="1" t="s">
        <v>415</v>
      </c>
      <c r="E457" s="1" t="s">
        <v>423</v>
      </c>
    </row>
    <row r="458" spans="1:5" x14ac:dyDescent="0.25">
      <c r="A458">
        <v>193</v>
      </c>
      <c r="B458" s="1" t="s">
        <v>350</v>
      </c>
      <c r="C458" s="1" t="s">
        <v>351</v>
      </c>
      <c r="D458" s="1" t="s">
        <v>415</v>
      </c>
      <c r="E458" s="1" t="s">
        <v>423</v>
      </c>
    </row>
    <row r="459" spans="1:5" x14ac:dyDescent="0.25">
      <c r="A459">
        <v>202</v>
      </c>
      <c r="B459" s="1" t="s">
        <v>252</v>
      </c>
      <c r="C459" s="1" t="s">
        <v>253</v>
      </c>
      <c r="D459" s="1" t="s">
        <v>415</v>
      </c>
      <c r="E459" s="1" t="s">
        <v>423</v>
      </c>
    </row>
    <row r="460" spans="1:5" x14ac:dyDescent="0.25">
      <c r="A460">
        <v>205</v>
      </c>
      <c r="B460" s="1" t="s">
        <v>405</v>
      </c>
      <c r="C460" s="1" t="s">
        <v>406</v>
      </c>
      <c r="D460" s="1" t="s">
        <v>415</v>
      </c>
      <c r="E460" s="1" t="s">
        <v>423</v>
      </c>
    </row>
    <row r="461" spans="1:5" x14ac:dyDescent="0.25">
      <c r="A461">
        <v>214</v>
      </c>
      <c r="B461" s="1" t="s">
        <v>274</v>
      </c>
      <c r="C461" s="1" t="s">
        <v>275</v>
      </c>
      <c r="D461" s="1" t="s">
        <v>415</v>
      </c>
      <c r="E461" s="1" t="s">
        <v>423</v>
      </c>
    </row>
    <row r="462" spans="1:5" x14ac:dyDescent="0.25">
      <c r="A462">
        <v>220</v>
      </c>
      <c r="B462" s="1" t="s">
        <v>382</v>
      </c>
      <c r="C462" s="1" t="s">
        <v>383</v>
      </c>
      <c r="D462" s="1" t="s">
        <v>415</v>
      </c>
      <c r="E462" s="1" t="s">
        <v>423</v>
      </c>
    </row>
    <row r="463" spans="1:5" x14ac:dyDescent="0.25">
      <c r="A463">
        <v>222</v>
      </c>
      <c r="B463" s="1" t="s">
        <v>234</v>
      </c>
      <c r="C463" s="1" t="s">
        <v>235</v>
      </c>
      <c r="D463" s="1" t="s">
        <v>415</v>
      </c>
      <c r="E463" s="1" t="s">
        <v>423</v>
      </c>
    </row>
    <row r="464" spans="1:5" x14ac:dyDescent="0.25">
      <c r="A464">
        <v>227</v>
      </c>
      <c r="B464" s="1" t="s">
        <v>280</v>
      </c>
      <c r="C464" s="1" t="s">
        <v>281</v>
      </c>
      <c r="D464" s="1" t="s">
        <v>415</v>
      </c>
      <c r="E464" s="1" t="s">
        <v>423</v>
      </c>
    </row>
    <row r="465" spans="1:5" x14ac:dyDescent="0.25">
      <c r="A465">
        <v>234</v>
      </c>
      <c r="B465" s="1" t="s">
        <v>264</v>
      </c>
      <c r="C465" s="1" t="s">
        <v>265</v>
      </c>
      <c r="D465" s="1" t="s">
        <v>415</v>
      </c>
      <c r="E465" s="1" t="s">
        <v>423</v>
      </c>
    </row>
    <row r="466" spans="1:5" x14ac:dyDescent="0.25">
      <c r="A466">
        <v>236</v>
      </c>
      <c r="B466" s="1" t="s">
        <v>252</v>
      </c>
      <c r="C466" s="1" t="s">
        <v>253</v>
      </c>
      <c r="D466" s="1" t="s">
        <v>415</v>
      </c>
      <c r="E466" s="1" t="s">
        <v>423</v>
      </c>
    </row>
    <row r="467" spans="1:5" x14ac:dyDescent="0.25">
      <c r="A467">
        <v>238</v>
      </c>
      <c r="B467" s="1" t="s">
        <v>389</v>
      </c>
      <c r="C467" s="1" t="s">
        <v>390</v>
      </c>
      <c r="D467" s="1" t="s">
        <v>415</v>
      </c>
      <c r="E467" s="1" t="s">
        <v>423</v>
      </c>
    </row>
    <row r="468" spans="1:5" x14ac:dyDescent="0.25">
      <c r="A468">
        <v>241</v>
      </c>
      <c r="B468" s="1" t="s">
        <v>380</v>
      </c>
      <c r="C468" s="1" t="s">
        <v>381</v>
      </c>
      <c r="D468" s="1" t="s">
        <v>415</v>
      </c>
      <c r="E468" s="1" t="s">
        <v>423</v>
      </c>
    </row>
    <row r="469" spans="1:5" x14ac:dyDescent="0.25">
      <c r="A469">
        <v>245</v>
      </c>
      <c r="B469" s="1" t="s">
        <v>397</v>
      </c>
      <c r="C469" s="1" t="s">
        <v>398</v>
      </c>
      <c r="D469" s="1" t="s">
        <v>415</v>
      </c>
      <c r="E469" s="1" t="s">
        <v>423</v>
      </c>
    </row>
    <row r="470" spans="1:5" x14ac:dyDescent="0.25">
      <c r="A470">
        <v>253</v>
      </c>
      <c r="B470" s="1" t="s">
        <v>413</v>
      </c>
      <c r="C470" s="1" t="s">
        <v>414</v>
      </c>
      <c r="D470" s="1" t="s">
        <v>415</v>
      </c>
      <c r="E470" s="1" t="s">
        <v>423</v>
      </c>
    </row>
    <row r="471" spans="1:5" x14ac:dyDescent="0.25">
      <c r="A471">
        <v>256</v>
      </c>
      <c r="B471" s="1" t="s">
        <v>332</v>
      </c>
      <c r="C471" s="1" t="s">
        <v>333</v>
      </c>
      <c r="D471" s="1" t="s">
        <v>415</v>
      </c>
      <c r="E471" s="1" t="s">
        <v>423</v>
      </c>
    </row>
    <row r="472" spans="1:5" x14ac:dyDescent="0.25">
      <c r="A472">
        <v>258</v>
      </c>
      <c r="B472" s="1" t="s">
        <v>320</v>
      </c>
      <c r="C472" s="1" t="s">
        <v>321</v>
      </c>
      <c r="D472" s="1" t="s">
        <v>415</v>
      </c>
      <c r="E472" s="1" t="s">
        <v>423</v>
      </c>
    </row>
    <row r="473" spans="1:5" x14ac:dyDescent="0.25">
      <c r="A473">
        <v>268</v>
      </c>
      <c r="B473" s="1" t="s">
        <v>264</v>
      </c>
      <c r="C473" s="1" t="s">
        <v>265</v>
      </c>
      <c r="D473" s="1" t="s">
        <v>415</v>
      </c>
      <c r="E473" s="1" t="s">
        <v>423</v>
      </c>
    </row>
    <row r="474" spans="1:5" x14ac:dyDescent="0.25">
      <c r="A474">
        <v>273</v>
      </c>
      <c r="B474" s="1" t="s">
        <v>258</v>
      </c>
      <c r="C474" s="1" t="s">
        <v>259</v>
      </c>
      <c r="D474" s="1" t="s">
        <v>415</v>
      </c>
      <c r="E474" s="1" t="s">
        <v>423</v>
      </c>
    </row>
    <row r="475" spans="1:5" x14ac:dyDescent="0.25">
      <c r="A475">
        <v>282</v>
      </c>
      <c r="B475" s="1" t="s">
        <v>352</v>
      </c>
      <c r="C475" s="1" t="s">
        <v>353</v>
      </c>
      <c r="D475" s="1" t="s">
        <v>415</v>
      </c>
      <c r="E475" s="1" t="s">
        <v>423</v>
      </c>
    </row>
    <row r="476" spans="1:5" x14ac:dyDescent="0.25">
      <c r="A476">
        <v>286</v>
      </c>
      <c r="B476" s="1" t="s">
        <v>346</v>
      </c>
      <c r="C476" s="1" t="s">
        <v>347</v>
      </c>
      <c r="D476" s="1" t="s">
        <v>415</v>
      </c>
      <c r="E476" s="1" t="s">
        <v>423</v>
      </c>
    </row>
    <row r="477" spans="1:5" x14ac:dyDescent="0.25">
      <c r="A477">
        <v>290</v>
      </c>
      <c r="B477" s="1" t="s">
        <v>292</v>
      </c>
      <c r="C477" s="1" t="s">
        <v>293</v>
      </c>
      <c r="D477" s="1" t="s">
        <v>415</v>
      </c>
      <c r="E477" s="1" t="s">
        <v>423</v>
      </c>
    </row>
    <row r="478" spans="1:5" x14ac:dyDescent="0.25">
      <c r="A478">
        <v>296</v>
      </c>
      <c r="B478" s="1" t="s">
        <v>358</v>
      </c>
      <c r="C478" s="1" t="s">
        <v>359</v>
      </c>
      <c r="D478" s="1" t="s">
        <v>415</v>
      </c>
      <c r="E478" s="1" t="s">
        <v>423</v>
      </c>
    </row>
    <row r="479" spans="1:5" x14ac:dyDescent="0.25">
      <c r="A479">
        <v>308</v>
      </c>
      <c r="B479" s="1" t="s">
        <v>332</v>
      </c>
      <c r="C479" s="1" t="s">
        <v>333</v>
      </c>
      <c r="D479" s="1" t="s">
        <v>415</v>
      </c>
      <c r="E479" s="1" t="s">
        <v>423</v>
      </c>
    </row>
    <row r="480" spans="1:5" x14ac:dyDescent="0.25">
      <c r="A480">
        <v>318</v>
      </c>
      <c r="B480" s="1" t="s">
        <v>403</v>
      </c>
      <c r="C480" s="1" t="s">
        <v>404</v>
      </c>
      <c r="D480" s="1" t="s">
        <v>415</v>
      </c>
      <c r="E480" s="1" t="s">
        <v>423</v>
      </c>
    </row>
    <row r="481" spans="1:5" x14ac:dyDescent="0.25">
      <c r="A481">
        <v>336</v>
      </c>
      <c r="B481" s="1" t="s">
        <v>322</v>
      </c>
      <c r="C481" s="1" t="s">
        <v>323</v>
      </c>
      <c r="D481" s="1" t="s">
        <v>415</v>
      </c>
      <c r="E481" s="1" t="s">
        <v>423</v>
      </c>
    </row>
    <row r="482" spans="1:5" x14ac:dyDescent="0.25">
      <c r="A482">
        <v>337</v>
      </c>
      <c r="B482" s="1" t="s">
        <v>266</v>
      </c>
      <c r="C482" s="1" t="s">
        <v>267</v>
      </c>
      <c r="D482" s="1" t="s">
        <v>415</v>
      </c>
      <c r="E482" s="1" t="s">
        <v>423</v>
      </c>
    </row>
    <row r="483" spans="1:5" x14ac:dyDescent="0.25">
      <c r="A483">
        <v>351</v>
      </c>
      <c r="B483" s="1" t="s">
        <v>270</v>
      </c>
      <c r="C483" s="1" t="s">
        <v>271</v>
      </c>
      <c r="D483" s="1" t="s">
        <v>415</v>
      </c>
      <c r="E483" s="1" t="s">
        <v>423</v>
      </c>
    </row>
    <row r="484" spans="1:5" x14ac:dyDescent="0.25">
      <c r="A484">
        <v>374</v>
      </c>
      <c r="B484" s="1" t="s">
        <v>368</v>
      </c>
      <c r="C484" s="1" t="s">
        <v>369</v>
      </c>
      <c r="D484" s="1" t="s">
        <v>415</v>
      </c>
      <c r="E484" s="1" t="s">
        <v>423</v>
      </c>
    </row>
    <row r="485" spans="1:5" x14ac:dyDescent="0.25">
      <c r="A485">
        <v>382</v>
      </c>
      <c r="B485" s="1" t="s">
        <v>270</v>
      </c>
      <c r="C485" s="1" t="s">
        <v>271</v>
      </c>
      <c r="D485" s="1" t="s">
        <v>415</v>
      </c>
      <c r="E485" s="1" t="s">
        <v>423</v>
      </c>
    </row>
    <row r="486" spans="1:5" x14ac:dyDescent="0.25">
      <c r="A486">
        <v>390</v>
      </c>
      <c r="B486" s="1" t="s">
        <v>278</v>
      </c>
      <c r="C486" s="1" t="s">
        <v>279</v>
      </c>
      <c r="D486" s="1" t="s">
        <v>415</v>
      </c>
      <c r="E486" s="1" t="s">
        <v>423</v>
      </c>
    </row>
    <row r="487" spans="1:5" x14ac:dyDescent="0.25">
      <c r="A487">
        <v>392</v>
      </c>
      <c r="B487" s="1" t="s">
        <v>274</v>
      </c>
      <c r="C487" s="1" t="s">
        <v>275</v>
      </c>
      <c r="D487" s="1" t="s">
        <v>415</v>
      </c>
      <c r="E487" s="1" t="s">
        <v>423</v>
      </c>
    </row>
    <row r="488" spans="1:5" x14ac:dyDescent="0.25">
      <c r="A488">
        <v>403</v>
      </c>
      <c r="B488" s="1" t="s">
        <v>364</v>
      </c>
      <c r="C488" s="1" t="s">
        <v>365</v>
      </c>
      <c r="D488" s="1" t="s">
        <v>415</v>
      </c>
      <c r="E488" s="1" t="s">
        <v>423</v>
      </c>
    </row>
    <row r="489" spans="1:5" x14ac:dyDescent="0.25">
      <c r="A489">
        <v>409</v>
      </c>
      <c r="B489" s="1" t="s">
        <v>266</v>
      </c>
      <c r="C489" s="1" t="s">
        <v>267</v>
      </c>
      <c r="D489" s="1" t="s">
        <v>415</v>
      </c>
      <c r="E489" s="1" t="s">
        <v>423</v>
      </c>
    </row>
    <row r="490" spans="1:5" x14ac:dyDescent="0.25">
      <c r="A490">
        <v>411</v>
      </c>
      <c r="B490" s="1" t="s">
        <v>230</v>
      </c>
      <c r="C490" s="1" t="s">
        <v>231</v>
      </c>
      <c r="D490" s="1" t="s">
        <v>415</v>
      </c>
      <c r="E490" s="1" t="s">
        <v>423</v>
      </c>
    </row>
    <row r="491" spans="1:5" x14ac:dyDescent="0.25">
      <c r="A491">
        <v>412</v>
      </c>
      <c r="B491" s="1" t="s">
        <v>340</v>
      </c>
      <c r="C491" s="1" t="s">
        <v>341</v>
      </c>
      <c r="D491" s="1" t="s">
        <v>415</v>
      </c>
      <c r="E491" s="1" t="s">
        <v>423</v>
      </c>
    </row>
    <row r="492" spans="1:5" x14ac:dyDescent="0.25">
      <c r="A492">
        <v>414</v>
      </c>
      <c r="B492" s="1" t="s">
        <v>413</v>
      </c>
      <c r="C492" s="1" t="s">
        <v>414</v>
      </c>
      <c r="D492" s="1" t="s">
        <v>415</v>
      </c>
      <c r="E492" s="1" t="s">
        <v>423</v>
      </c>
    </row>
    <row r="493" spans="1:5" x14ac:dyDescent="0.25">
      <c r="A493">
        <v>416</v>
      </c>
      <c r="B493" s="1" t="s">
        <v>411</v>
      </c>
      <c r="C493" s="1" t="s">
        <v>412</v>
      </c>
      <c r="D493" s="1" t="s">
        <v>415</v>
      </c>
      <c r="E493" s="1" t="s">
        <v>423</v>
      </c>
    </row>
    <row r="494" spans="1:5" x14ac:dyDescent="0.25">
      <c r="A494">
        <v>427</v>
      </c>
      <c r="B494" s="1" t="s">
        <v>294</v>
      </c>
      <c r="C494" s="1" t="s">
        <v>295</v>
      </c>
      <c r="D494" s="1" t="s">
        <v>415</v>
      </c>
      <c r="E494" s="1" t="s">
        <v>423</v>
      </c>
    </row>
    <row r="495" spans="1:5" x14ac:dyDescent="0.25">
      <c r="A495">
        <v>439</v>
      </c>
      <c r="B495" s="1" t="s">
        <v>368</v>
      </c>
      <c r="C495" s="1" t="s">
        <v>369</v>
      </c>
      <c r="D495" s="1" t="s">
        <v>415</v>
      </c>
      <c r="E495" s="1" t="s">
        <v>423</v>
      </c>
    </row>
    <row r="496" spans="1:5" x14ac:dyDescent="0.25">
      <c r="A496">
        <v>441</v>
      </c>
      <c r="B496" s="1" t="s">
        <v>342</v>
      </c>
      <c r="C496" s="1" t="s">
        <v>343</v>
      </c>
      <c r="D496" s="1" t="s">
        <v>415</v>
      </c>
      <c r="E496" s="1" t="s">
        <v>423</v>
      </c>
    </row>
    <row r="497" spans="1:5" x14ac:dyDescent="0.25">
      <c r="A497">
        <v>457</v>
      </c>
      <c r="B497" s="1" t="s">
        <v>270</v>
      </c>
      <c r="C497" s="1" t="s">
        <v>271</v>
      </c>
      <c r="D497" s="1" t="s">
        <v>415</v>
      </c>
      <c r="E497" s="1" t="s">
        <v>423</v>
      </c>
    </row>
    <row r="498" spans="1:5" x14ac:dyDescent="0.25">
      <c r="A498">
        <v>465</v>
      </c>
      <c r="B498" s="1" t="s">
        <v>220</v>
      </c>
      <c r="C498" s="1" t="s">
        <v>221</v>
      </c>
      <c r="D498" s="1" t="s">
        <v>415</v>
      </c>
      <c r="E498" s="1" t="s">
        <v>423</v>
      </c>
    </row>
    <row r="499" spans="1:5" x14ac:dyDescent="0.25">
      <c r="A499">
        <v>468</v>
      </c>
      <c r="B499" s="1" t="s">
        <v>413</v>
      </c>
      <c r="C499" s="1" t="s">
        <v>414</v>
      </c>
      <c r="D499" s="1" t="s">
        <v>415</v>
      </c>
      <c r="E499" s="1" t="s">
        <v>423</v>
      </c>
    </row>
    <row r="500" spans="1:5" x14ac:dyDescent="0.25">
      <c r="A500">
        <v>469</v>
      </c>
      <c r="B500" s="1" t="s">
        <v>232</v>
      </c>
      <c r="C500" s="1" t="s">
        <v>233</v>
      </c>
      <c r="D500" s="1" t="s">
        <v>415</v>
      </c>
      <c r="E500" s="1" t="s">
        <v>423</v>
      </c>
    </row>
    <row r="501" spans="1:5" x14ac:dyDescent="0.25">
      <c r="A501">
        <v>477</v>
      </c>
      <c r="B501" s="1" t="s">
        <v>316</v>
      </c>
      <c r="C501" s="1" t="s">
        <v>317</v>
      </c>
      <c r="D501" s="1" t="s">
        <v>415</v>
      </c>
      <c r="E501" s="1" t="s">
        <v>423</v>
      </c>
    </row>
    <row r="502" spans="1:5" x14ac:dyDescent="0.25">
      <c r="A502">
        <v>478</v>
      </c>
      <c r="B502" s="1" t="s">
        <v>286</v>
      </c>
      <c r="C502" s="1" t="s">
        <v>287</v>
      </c>
      <c r="D502" s="1" t="s">
        <v>415</v>
      </c>
      <c r="E502" s="1" t="s">
        <v>423</v>
      </c>
    </row>
    <row r="503" spans="1:5" x14ac:dyDescent="0.25">
      <c r="A503">
        <v>479</v>
      </c>
      <c r="B503" s="1" t="s">
        <v>282</v>
      </c>
      <c r="C503" s="1" t="s">
        <v>283</v>
      </c>
      <c r="D503" s="1" t="s">
        <v>415</v>
      </c>
      <c r="E503" s="1" t="s">
        <v>423</v>
      </c>
    </row>
    <row r="504" spans="1:5" x14ac:dyDescent="0.25">
      <c r="A504">
        <v>480</v>
      </c>
      <c r="B504" s="1" t="s">
        <v>424</v>
      </c>
      <c r="C504" s="1" t="s">
        <v>425</v>
      </c>
      <c r="D504" s="1" t="s">
        <v>415</v>
      </c>
      <c r="E504" s="1" t="s">
        <v>423</v>
      </c>
    </row>
    <row r="505" spans="1:5" x14ac:dyDescent="0.25">
      <c r="A505">
        <v>482</v>
      </c>
      <c r="B505" s="1" t="s">
        <v>326</v>
      </c>
      <c r="C505" s="1" t="s">
        <v>327</v>
      </c>
      <c r="D505" s="1" t="s">
        <v>415</v>
      </c>
      <c r="E505" s="1" t="s">
        <v>423</v>
      </c>
    </row>
    <row r="506" spans="1:5" x14ac:dyDescent="0.25">
      <c r="A506">
        <v>485</v>
      </c>
      <c r="B506" s="1" t="s">
        <v>354</v>
      </c>
      <c r="C506" s="1" t="s">
        <v>355</v>
      </c>
      <c r="D506" s="1" t="s">
        <v>415</v>
      </c>
      <c r="E506" s="1" t="s">
        <v>423</v>
      </c>
    </row>
    <row r="507" spans="1:5" x14ac:dyDescent="0.25">
      <c r="A507">
        <v>486</v>
      </c>
      <c r="B507" s="1" t="s">
        <v>409</v>
      </c>
      <c r="C507" s="1" t="s">
        <v>410</v>
      </c>
      <c r="D507" s="1" t="s">
        <v>415</v>
      </c>
      <c r="E507" s="1" t="s">
        <v>423</v>
      </c>
    </row>
    <row r="508" spans="1:5" x14ac:dyDescent="0.25">
      <c r="A508">
        <v>488</v>
      </c>
      <c r="B508" s="1" t="s">
        <v>262</v>
      </c>
      <c r="C508" s="1" t="s">
        <v>263</v>
      </c>
      <c r="D508" s="1" t="s">
        <v>415</v>
      </c>
      <c r="E508" s="1" t="s">
        <v>423</v>
      </c>
    </row>
    <row r="509" spans="1:5" x14ac:dyDescent="0.25">
      <c r="A509">
        <v>490</v>
      </c>
      <c r="B509" s="1" t="s">
        <v>276</v>
      </c>
      <c r="C509" s="1" t="s">
        <v>277</v>
      </c>
      <c r="D509" s="1" t="s">
        <v>415</v>
      </c>
      <c r="E509" s="1" t="s">
        <v>423</v>
      </c>
    </row>
    <row r="510" spans="1:5" x14ac:dyDescent="0.25">
      <c r="A510">
        <v>491</v>
      </c>
      <c r="B510" s="1" t="s">
        <v>348</v>
      </c>
      <c r="C510" s="1" t="s">
        <v>349</v>
      </c>
      <c r="D510" s="1" t="s">
        <v>415</v>
      </c>
      <c r="E510" s="1" t="s">
        <v>423</v>
      </c>
    </row>
    <row r="511" spans="1:5" x14ac:dyDescent="0.25">
      <c r="A511">
        <v>498</v>
      </c>
      <c r="B511" s="1" t="s">
        <v>236</v>
      </c>
      <c r="C511" s="1" t="s">
        <v>237</v>
      </c>
      <c r="D511" s="1" t="s">
        <v>415</v>
      </c>
      <c r="E511" s="1" t="s">
        <v>423</v>
      </c>
    </row>
    <row r="512" spans="1:5" x14ac:dyDescent="0.25">
      <c r="A512">
        <v>504</v>
      </c>
      <c r="B512" s="1" t="s">
        <v>250</v>
      </c>
      <c r="C512" s="1" t="s">
        <v>251</v>
      </c>
      <c r="D512" s="1" t="s">
        <v>415</v>
      </c>
      <c r="E512" s="1" t="s">
        <v>423</v>
      </c>
    </row>
    <row r="513" spans="1:5" x14ac:dyDescent="0.25">
      <c r="A513">
        <v>506</v>
      </c>
      <c r="B513" s="1" t="s">
        <v>296</v>
      </c>
      <c r="C513" s="1" t="s">
        <v>297</v>
      </c>
      <c r="D513" s="1" t="s">
        <v>415</v>
      </c>
      <c r="E513" s="1" t="s">
        <v>423</v>
      </c>
    </row>
    <row r="514" spans="1:5" x14ac:dyDescent="0.25">
      <c r="A514">
        <v>507</v>
      </c>
      <c r="B514" s="1" t="s">
        <v>360</v>
      </c>
      <c r="C514" s="1" t="s">
        <v>361</v>
      </c>
      <c r="D514" s="1" t="s">
        <v>415</v>
      </c>
      <c r="E514" s="1" t="s">
        <v>423</v>
      </c>
    </row>
    <row r="515" spans="1:5" x14ac:dyDescent="0.25">
      <c r="A515">
        <v>512</v>
      </c>
      <c r="B515" s="1" t="s">
        <v>350</v>
      </c>
      <c r="C515" s="1" t="s">
        <v>351</v>
      </c>
      <c r="D515" s="1" t="s">
        <v>415</v>
      </c>
      <c r="E515" s="1" t="s">
        <v>423</v>
      </c>
    </row>
    <row r="516" spans="1:5" x14ac:dyDescent="0.25">
      <c r="A516">
        <v>514</v>
      </c>
      <c r="B516" s="1" t="s">
        <v>401</v>
      </c>
      <c r="C516" s="1" t="s">
        <v>402</v>
      </c>
      <c r="D516" s="1" t="s">
        <v>415</v>
      </c>
      <c r="E516" s="1" t="s">
        <v>423</v>
      </c>
    </row>
    <row r="517" spans="1:5" x14ac:dyDescent="0.25">
      <c r="A517">
        <v>522</v>
      </c>
      <c r="B517" s="1" t="s">
        <v>424</v>
      </c>
      <c r="C517" s="1" t="s">
        <v>425</v>
      </c>
      <c r="D517" s="1" t="s">
        <v>415</v>
      </c>
      <c r="E517" s="1" t="s">
        <v>423</v>
      </c>
    </row>
    <row r="518" spans="1:5" x14ac:dyDescent="0.25">
      <c r="A518">
        <v>523</v>
      </c>
      <c r="B518" s="1" t="s">
        <v>294</v>
      </c>
      <c r="C518" s="1" t="s">
        <v>295</v>
      </c>
      <c r="D518" s="1" t="s">
        <v>415</v>
      </c>
      <c r="E518" s="1" t="s">
        <v>423</v>
      </c>
    </row>
    <row r="519" spans="1:5" x14ac:dyDescent="0.25">
      <c r="A519">
        <v>529</v>
      </c>
      <c r="B519" s="1" t="s">
        <v>340</v>
      </c>
      <c r="C519" s="1" t="s">
        <v>341</v>
      </c>
      <c r="D519" s="1" t="s">
        <v>415</v>
      </c>
      <c r="E519" s="1" t="s">
        <v>423</v>
      </c>
    </row>
    <row r="520" spans="1:5" x14ac:dyDescent="0.25">
      <c r="A520">
        <v>531</v>
      </c>
      <c r="B520" s="1" t="s">
        <v>228</v>
      </c>
      <c r="C520" s="1" t="s">
        <v>229</v>
      </c>
      <c r="D520" s="1" t="s">
        <v>415</v>
      </c>
      <c r="E520" s="1" t="s">
        <v>423</v>
      </c>
    </row>
    <row r="521" spans="1:5" x14ac:dyDescent="0.25">
      <c r="A521">
        <v>534</v>
      </c>
      <c r="B521" s="1" t="s">
        <v>330</v>
      </c>
      <c r="C521" s="1" t="s">
        <v>331</v>
      </c>
      <c r="D521" s="1" t="s">
        <v>415</v>
      </c>
      <c r="E521" s="1" t="s">
        <v>423</v>
      </c>
    </row>
    <row r="522" spans="1:5" x14ac:dyDescent="0.25">
      <c r="A522">
        <v>539</v>
      </c>
      <c r="B522" s="1" t="s">
        <v>292</v>
      </c>
      <c r="C522" s="1" t="s">
        <v>293</v>
      </c>
      <c r="D522" s="1" t="s">
        <v>415</v>
      </c>
      <c r="E522" s="1" t="s">
        <v>423</v>
      </c>
    </row>
    <row r="523" spans="1:5" x14ac:dyDescent="0.25">
      <c r="A523">
        <v>542</v>
      </c>
      <c r="B523" s="1" t="s">
        <v>352</v>
      </c>
      <c r="C523" s="1" t="s">
        <v>353</v>
      </c>
      <c r="D523" s="1" t="s">
        <v>415</v>
      </c>
      <c r="E523" s="1" t="s">
        <v>423</v>
      </c>
    </row>
    <row r="524" spans="1:5" x14ac:dyDescent="0.25">
      <c r="A524">
        <v>549</v>
      </c>
      <c r="B524" s="1" t="s">
        <v>308</v>
      </c>
      <c r="C524" s="1" t="s">
        <v>309</v>
      </c>
      <c r="D524" s="1" t="s">
        <v>415</v>
      </c>
      <c r="E524" s="1" t="s">
        <v>423</v>
      </c>
    </row>
    <row r="525" spans="1:5" x14ac:dyDescent="0.25">
      <c r="A525">
        <v>560</v>
      </c>
      <c r="B525" s="1" t="s">
        <v>326</v>
      </c>
      <c r="C525" s="1" t="s">
        <v>327</v>
      </c>
      <c r="D525" s="1" t="s">
        <v>415</v>
      </c>
      <c r="E525" s="1" t="s">
        <v>423</v>
      </c>
    </row>
    <row r="526" spans="1:5" x14ac:dyDescent="0.25">
      <c r="A526">
        <v>574</v>
      </c>
      <c r="B526" s="1" t="s">
        <v>322</v>
      </c>
      <c r="C526" s="1" t="s">
        <v>323</v>
      </c>
      <c r="D526" s="1" t="s">
        <v>415</v>
      </c>
      <c r="E526" s="1" t="s">
        <v>423</v>
      </c>
    </row>
    <row r="527" spans="1:5" x14ac:dyDescent="0.25">
      <c r="A527">
        <v>578</v>
      </c>
      <c r="B527" s="1" t="s">
        <v>395</v>
      </c>
      <c r="C527" s="1" t="s">
        <v>396</v>
      </c>
      <c r="D527" s="1" t="s">
        <v>415</v>
      </c>
      <c r="E527" s="1" t="s">
        <v>423</v>
      </c>
    </row>
    <row r="528" spans="1:5" x14ac:dyDescent="0.25">
      <c r="A528">
        <v>579</v>
      </c>
      <c r="B528" s="1" t="s">
        <v>403</v>
      </c>
      <c r="C528" s="1" t="s">
        <v>404</v>
      </c>
      <c r="D528" s="1" t="s">
        <v>415</v>
      </c>
      <c r="E528" s="1" t="s">
        <v>423</v>
      </c>
    </row>
    <row r="529" spans="1:5" x14ac:dyDescent="0.25">
      <c r="A529">
        <v>604</v>
      </c>
      <c r="B529" s="1" t="s">
        <v>310</v>
      </c>
      <c r="C529" s="1" t="s">
        <v>311</v>
      </c>
      <c r="D529" s="1" t="s">
        <v>415</v>
      </c>
      <c r="E529" s="1" t="s">
        <v>423</v>
      </c>
    </row>
    <row r="530" spans="1:5" x14ac:dyDescent="0.25">
      <c r="A530">
        <v>621</v>
      </c>
      <c r="B530" s="1" t="s">
        <v>300</v>
      </c>
      <c r="C530" s="1" t="s">
        <v>301</v>
      </c>
      <c r="D530" s="1" t="s">
        <v>415</v>
      </c>
      <c r="E530" s="1" t="s">
        <v>423</v>
      </c>
    </row>
    <row r="531" spans="1:5" x14ac:dyDescent="0.25">
      <c r="A531">
        <v>623</v>
      </c>
      <c r="B531" s="1" t="s">
        <v>226</v>
      </c>
      <c r="C531" s="1" t="s">
        <v>227</v>
      </c>
      <c r="D531" s="1" t="s">
        <v>415</v>
      </c>
      <c r="E531" s="1" t="s">
        <v>423</v>
      </c>
    </row>
    <row r="532" spans="1:5" x14ac:dyDescent="0.25">
      <c r="A532">
        <v>631</v>
      </c>
      <c r="B532" s="1" t="s">
        <v>346</v>
      </c>
      <c r="C532" s="1" t="s">
        <v>347</v>
      </c>
      <c r="D532" s="1" t="s">
        <v>415</v>
      </c>
      <c r="E532" s="1" t="s">
        <v>423</v>
      </c>
    </row>
    <row r="533" spans="1:5" x14ac:dyDescent="0.25">
      <c r="A533">
        <v>633</v>
      </c>
      <c r="B533" s="1" t="s">
        <v>391</v>
      </c>
      <c r="C533" s="1" t="s">
        <v>392</v>
      </c>
      <c r="D533" s="1" t="s">
        <v>415</v>
      </c>
      <c r="E533" s="1" t="s">
        <v>423</v>
      </c>
    </row>
    <row r="534" spans="1:5" x14ac:dyDescent="0.25">
      <c r="A534">
        <v>636</v>
      </c>
      <c r="B534" s="1" t="s">
        <v>342</v>
      </c>
      <c r="C534" s="1" t="s">
        <v>343</v>
      </c>
      <c r="D534" s="1" t="s">
        <v>415</v>
      </c>
      <c r="E534" s="1" t="s">
        <v>423</v>
      </c>
    </row>
    <row r="535" spans="1:5" x14ac:dyDescent="0.25">
      <c r="A535">
        <v>659</v>
      </c>
      <c r="B535" s="1" t="s">
        <v>272</v>
      </c>
      <c r="C535" s="1" t="s">
        <v>273</v>
      </c>
      <c r="D535" s="1" t="s">
        <v>415</v>
      </c>
      <c r="E535" s="1" t="s">
        <v>423</v>
      </c>
    </row>
    <row r="536" spans="1:5" x14ac:dyDescent="0.25">
      <c r="A536">
        <v>663</v>
      </c>
      <c r="B536" s="1" t="s">
        <v>376</v>
      </c>
      <c r="C536" s="1" t="s">
        <v>377</v>
      </c>
      <c r="D536" s="1" t="s">
        <v>415</v>
      </c>
      <c r="E536" s="1" t="s">
        <v>423</v>
      </c>
    </row>
    <row r="537" spans="1:5" x14ac:dyDescent="0.25">
      <c r="A537">
        <v>664</v>
      </c>
      <c r="B537" s="1" t="s">
        <v>380</v>
      </c>
      <c r="C537" s="1" t="s">
        <v>381</v>
      </c>
      <c r="D537" s="1" t="s">
        <v>415</v>
      </c>
      <c r="E537" s="1" t="s">
        <v>423</v>
      </c>
    </row>
    <row r="538" spans="1:5" x14ac:dyDescent="0.25">
      <c r="A538">
        <v>666</v>
      </c>
      <c r="B538" s="1" t="s">
        <v>234</v>
      </c>
      <c r="C538" s="1" t="s">
        <v>235</v>
      </c>
      <c r="D538" s="1" t="s">
        <v>415</v>
      </c>
      <c r="E538" s="1" t="s">
        <v>423</v>
      </c>
    </row>
    <row r="539" spans="1:5" x14ac:dyDescent="0.25">
      <c r="A539">
        <v>675</v>
      </c>
      <c r="B539" s="1" t="s">
        <v>290</v>
      </c>
      <c r="C539" s="1" t="s">
        <v>291</v>
      </c>
      <c r="D539" s="1" t="s">
        <v>415</v>
      </c>
      <c r="E539" s="1" t="s">
        <v>423</v>
      </c>
    </row>
    <row r="540" spans="1:5" x14ac:dyDescent="0.25">
      <c r="A540">
        <v>678</v>
      </c>
      <c r="B540" s="1" t="s">
        <v>284</v>
      </c>
      <c r="C540" s="1" t="s">
        <v>285</v>
      </c>
      <c r="D540" s="1" t="s">
        <v>415</v>
      </c>
      <c r="E540" s="1" t="s">
        <v>423</v>
      </c>
    </row>
    <row r="541" spans="1:5" x14ac:dyDescent="0.25">
      <c r="A541">
        <v>679</v>
      </c>
      <c r="B541" s="1" t="s">
        <v>403</v>
      </c>
      <c r="C541" s="1" t="s">
        <v>404</v>
      </c>
      <c r="D541" s="1" t="s">
        <v>415</v>
      </c>
      <c r="E541" s="1" t="s">
        <v>423</v>
      </c>
    </row>
    <row r="542" spans="1:5" x14ac:dyDescent="0.25">
      <c r="A542">
        <v>681</v>
      </c>
      <c r="B542" s="1" t="s">
        <v>248</v>
      </c>
      <c r="C542" s="1" t="s">
        <v>249</v>
      </c>
      <c r="D542" s="1" t="s">
        <v>415</v>
      </c>
      <c r="E542" s="1" t="s">
        <v>423</v>
      </c>
    </row>
    <row r="543" spans="1:5" x14ac:dyDescent="0.25">
      <c r="A543">
        <v>687</v>
      </c>
      <c r="B543" s="1" t="s">
        <v>258</v>
      </c>
      <c r="C543" s="1" t="s">
        <v>259</v>
      </c>
      <c r="D543" s="1" t="s">
        <v>415</v>
      </c>
      <c r="E543" s="1" t="s">
        <v>423</v>
      </c>
    </row>
    <row r="544" spans="1:5" x14ac:dyDescent="0.25">
      <c r="A544">
        <v>698</v>
      </c>
      <c r="B544" s="1" t="s">
        <v>368</v>
      </c>
      <c r="C544" s="1" t="s">
        <v>369</v>
      </c>
      <c r="D544" s="1" t="s">
        <v>415</v>
      </c>
      <c r="E544" s="1" t="s">
        <v>423</v>
      </c>
    </row>
    <row r="545" spans="1:5" x14ac:dyDescent="0.25">
      <c r="A545">
        <v>714</v>
      </c>
      <c r="B545" s="1" t="s">
        <v>272</v>
      </c>
      <c r="C545" s="1" t="s">
        <v>273</v>
      </c>
      <c r="D545" s="1" t="s">
        <v>415</v>
      </c>
      <c r="E545" s="1" t="s">
        <v>423</v>
      </c>
    </row>
    <row r="546" spans="1:5" x14ac:dyDescent="0.25">
      <c r="A546">
        <v>715</v>
      </c>
      <c r="B546" s="1" t="s">
        <v>382</v>
      </c>
      <c r="C546" s="1" t="s">
        <v>383</v>
      </c>
      <c r="D546" s="1" t="s">
        <v>415</v>
      </c>
      <c r="E546" s="1" t="s">
        <v>423</v>
      </c>
    </row>
    <row r="547" spans="1:5" x14ac:dyDescent="0.25">
      <c r="A547">
        <v>717</v>
      </c>
      <c r="B547" s="1" t="s">
        <v>320</v>
      </c>
      <c r="C547" s="1" t="s">
        <v>321</v>
      </c>
      <c r="D547" s="1" t="s">
        <v>415</v>
      </c>
      <c r="E547" s="1" t="s">
        <v>423</v>
      </c>
    </row>
    <row r="548" spans="1:5" x14ac:dyDescent="0.25">
      <c r="A548">
        <v>719</v>
      </c>
      <c r="B548" s="1" t="s">
        <v>314</v>
      </c>
      <c r="C548" s="1" t="s">
        <v>315</v>
      </c>
      <c r="D548" s="1" t="s">
        <v>415</v>
      </c>
      <c r="E548" s="1" t="s">
        <v>423</v>
      </c>
    </row>
    <row r="549" spans="1:5" x14ac:dyDescent="0.25">
      <c r="A549">
        <v>725</v>
      </c>
      <c r="B549" s="1" t="s">
        <v>411</v>
      </c>
      <c r="C549" s="1" t="s">
        <v>412</v>
      </c>
      <c r="D549" s="1" t="s">
        <v>415</v>
      </c>
      <c r="E549" s="1" t="s">
        <v>423</v>
      </c>
    </row>
    <row r="550" spans="1:5" x14ac:dyDescent="0.25">
      <c r="A550">
        <v>738</v>
      </c>
      <c r="B550" s="1" t="s">
        <v>304</v>
      </c>
      <c r="C550" s="1" t="s">
        <v>305</v>
      </c>
      <c r="D550" s="1" t="s">
        <v>415</v>
      </c>
      <c r="E550" s="1" t="s">
        <v>423</v>
      </c>
    </row>
    <row r="551" spans="1:5" x14ac:dyDescent="0.25">
      <c r="A551">
        <v>758</v>
      </c>
      <c r="B551" s="1" t="s">
        <v>334</v>
      </c>
      <c r="C551" s="1" t="s">
        <v>335</v>
      </c>
      <c r="D551" s="1" t="s">
        <v>415</v>
      </c>
      <c r="E551" s="1" t="s">
        <v>423</v>
      </c>
    </row>
    <row r="552" spans="1:5" x14ac:dyDescent="0.25">
      <c r="A552">
        <v>765</v>
      </c>
      <c r="B552" s="1" t="s">
        <v>330</v>
      </c>
      <c r="C552" s="1" t="s">
        <v>331</v>
      </c>
      <c r="D552" s="1" t="s">
        <v>415</v>
      </c>
      <c r="E552" s="1" t="s">
        <v>423</v>
      </c>
    </row>
    <row r="553" spans="1:5" x14ac:dyDescent="0.25">
      <c r="A553">
        <v>767</v>
      </c>
      <c r="B553" s="1" t="s">
        <v>389</v>
      </c>
      <c r="C553" s="1" t="s">
        <v>390</v>
      </c>
      <c r="D553" s="1" t="s">
        <v>415</v>
      </c>
      <c r="E553" s="1" t="s">
        <v>423</v>
      </c>
    </row>
    <row r="554" spans="1:5" x14ac:dyDescent="0.25">
      <c r="A554">
        <v>773</v>
      </c>
      <c r="B554" s="1" t="s">
        <v>226</v>
      </c>
      <c r="C554" s="1" t="s">
        <v>227</v>
      </c>
      <c r="D554" s="1" t="s">
        <v>415</v>
      </c>
      <c r="E554" s="1" t="s">
        <v>423</v>
      </c>
    </row>
    <row r="555" spans="1:5" x14ac:dyDescent="0.25">
      <c r="A555">
        <v>777</v>
      </c>
      <c r="B555" s="1" t="s">
        <v>220</v>
      </c>
      <c r="C555" s="1" t="s">
        <v>221</v>
      </c>
      <c r="D555" s="1" t="s">
        <v>415</v>
      </c>
      <c r="E555" s="1" t="s">
        <v>423</v>
      </c>
    </row>
    <row r="556" spans="1:5" x14ac:dyDescent="0.25">
      <c r="A556">
        <v>782</v>
      </c>
      <c r="B556" s="1" t="s">
        <v>364</v>
      </c>
      <c r="C556" s="1" t="s">
        <v>365</v>
      </c>
      <c r="D556" s="1" t="s">
        <v>415</v>
      </c>
      <c r="E556" s="1" t="s">
        <v>423</v>
      </c>
    </row>
    <row r="557" spans="1:5" x14ac:dyDescent="0.25">
      <c r="A557">
        <v>786</v>
      </c>
      <c r="B557" s="1" t="s">
        <v>248</v>
      </c>
      <c r="C557" s="1" t="s">
        <v>249</v>
      </c>
      <c r="D557" s="1" t="s">
        <v>415</v>
      </c>
      <c r="E557" s="1" t="s">
        <v>423</v>
      </c>
    </row>
    <row r="558" spans="1:5" x14ac:dyDescent="0.25">
      <c r="A558">
        <v>790</v>
      </c>
      <c r="B558" s="1" t="s">
        <v>232</v>
      </c>
      <c r="C558" s="1" t="s">
        <v>233</v>
      </c>
      <c r="D558" s="1" t="s">
        <v>415</v>
      </c>
      <c r="E558" s="1" t="s">
        <v>423</v>
      </c>
    </row>
    <row r="559" spans="1:5" x14ac:dyDescent="0.25">
      <c r="A559">
        <v>795</v>
      </c>
      <c r="B559" s="1" t="s">
        <v>358</v>
      </c>
      <c r="C559" s="1" t="s">
        <v>359</v>
      </c>
      <c r="D559" s="1" t="s">
        <v>415</v>
      </c>
      <c r="E559" s="1" t="s">
        <v>423</v>
      </c>
    </row>
    <row r="560" spans="1:5" x14ac:dyDescent="0.25">
      <c r="A560">
        <v>796</v>
      </c>
      <c r="B560" s="1" t="s">
        <v>246</v>
      </c>
      <c r="C560" s="1" t="s">
        <v>247</v>
      </c>
      <c r="D560" s="1" t="s">
        <v>415</v>
      </c>
      <c r="E560" s="1" t="s">
        <v>423</v>
      </c>
    </row>
    <row r="561" spans="1:5" x14ac:dyDescent="0.25">
      <c r="A561">
        <v>809</v>
      </c>
      <c r="B561" s="1" t="s">
        <v>220</v>
      </c>
      <c r="C561" s="1" t="s">
        <v>221</v>
      </c>
      <c r="D561" s="1" t="s">
        <v>415</v>
      </c>
      <c r="E561" s="1" t="s">
        <v>423</v>
      </c>
    </row>
    <row r="562" spans="1:5" x14ac:dyDescent="0.25">
      <c r="A562">
        <v>810</v>
      </c>
      <c r="B562" s="1" t="s">
        <v>288</v>
      </c>
      <c r="C562" s="1" t="s">
        <v>289</v>
      </c>
      <c r="D562" s="1" t="s">
        <v>415</v>
      </c>
      <c r="E562" s="1" t="s">
        <v>423</v>
      </c>
    </row>
    <row r="563" spans="1:5" x14ac:dyDescent="0.25">
      <c r="A563">
        <v>815</v>
      </c>
      <c r="B563" s="1" t="s">
        <v>344</v>
      </c>
      <c r="C563" s="1" t="s">
        <v>345</v>
      </c>
      <c r="D563" s="1" t="s">
        <v>415</v>
      </c>
      <c r="E563" s="1" t="s">
        <v>423</v>
      </c>
    </row>
    <row r="564" spans="1:5" x14ac:dyDescent="0.25">
      <c r="A564">
        <v>824</v>
      </c>
      <c r="B564" s="1" t="s">
        <v>380</v>
      </c>
      <c r="C564" s="1" t="s">
        <v>381</v>
      </c>
      <c r="D564" s="1" t="s">
        <v>415</v>
      </c>
      <c r="E564" s="1" t="s">
        <v>423</v>
      </c>
    </row>
    <row r="565" spans="1:5" x14ac:dyDescent="0.25">
      <c r="A565">
        <v>832</v>
      </c>
      <c r="B565" s="1" t="s">
        <v>260</v>
      </c>
      <c r="C565" s="1" t="s">
        <v>261</v>
      </c>
      <c r="D565" s="1" t="s">
        <v>415</v>
      </c>
      <c r="E565" s="1" t="s">
        <v>423</v>
      </c>
    </row>
    <row r="566" spans="1:5" x14ac:dyDescent="0.25">
      <c r="A566">
        <v>835</v>
      </c>
      <c r="B566" s="1" t="s">
        <v>224</v>
      </c>
      <c r="C566" s="1" t="s">
        <v>225</v>
      </c>
      <c r="D566" s="1" t="s">
        <v>415</v>
      </c>
      <c r="E566" s="1" t="s">
        <v>423</v>
      </c>
    </row>
    <row r="567" spans="1:5" x14ac:dyDescent="0.25">
      <c r="A567">
        <v>857</v>
      </c>
      <c r="B567" s="1" t="s">
        <v>362</v>
      </c>
      <c r="C567" s="1" t="s">
        <v>363</v>
      </c>
      <c r="D567" s="1" t="s">
        <v>415</v>
      </c>
      <c r="E567" s="1" t="s">
        <v>423</v>
      </c>
    </row>
    <row r="568" spans="1:5" x14ac:dyDescent="0.25">
      <c r="A568">
        <v>861</v>
      </c>
      <c r="B568" s="1" t="s">
        <v>226</v>
      </c>
      <c r="C568" s="1" t="s">
        <v>227</v>
      </c>
      <c r="D568" s="1" t="s">
        <v>415</v>
      </c>
      <c r="E568" s="1" t="s">
        <v>423</v>
      </c>
    </row>
    <row r="569" spans="1:5" x14ac:dyDescent="0.25">
      <c r="A569">
        <v>867</v>
      </c>
      <c r="B569" s="1" t="s">
        <v>226</v>
      </c>
      <c r="C569" s="1" t="s">
        <v>227</v>
      </c>
      <c r="D569" s="1" t="s">
        <v>415</v>
      </c>
      <c r="E569" s="1" t="s">
        <v>423</v>
      </c>
    </row>
    <row r="570" spans="1:5" x14ac:dyDescent="0.25">
      <c r="A570">
        <v>868</v>
      </c>
      <c r="B570" s="1" t="s">
        <v>276</v>
      </c>
      <c r="C570" s="1" t="s">
        <v>277</v>
      </c>
      <c r="D570" s="1" t="s">
        <v>415</v>
      </c>
      <c r="E570" s="1" t="s">
        <v>423</v>
      </c>
    </row>
    <row r="571" spans="1:5" x14ac:dyDescent="0.25">
      <c r="A571">
        <v>873</v>
      </c>
      <c r="B571" s="1" t="s">
        <v>389</v>
      </c>
      <c r="C571" s="1" t="s">
        <v>390</v>
      </c>
      <c r="D571" s="1" t="s">
        <v>415</v>
      </c>
      <c r="E571" s="1" t="s">
        <v>423</v>
      </c>
    </row>
    <row r="572" spans="1:5" x14ac:dyDescent="0.25">
      <c r="A572">
        <v>886</v>
      </c>
      <c r="B572" s="1" t="s">
        <v>258</v>
      </c>
      <c r="C572" s="1" t="s">
        <v>259</v>
      </c>
      <c r="D572" s="1" t="s">
        <v>415</v>
      </c>
      <c r="E572" s="1" t="s">
        <v>423</v>
      </c>
    </row>
    <row r="573" spans="1:5" x14ac:dyDescent="0.25">
      <c r="A573">
        <v>891</v>
      </c>
      <c r="B573" s="1" t="s">
        <v>413</v>
      </c>
      <c r="C573" s="1" t="s">
        <v>414</v>
      </c>
      <c r="D573" s="1" t="s">
        <v>415</v>
      </c>
      <c r="E573" s="1" t="s">
        <v>423</v>
      </c>
    </row>
    <row r="574" spans="1:5" x14ac:dyDescent="0.25">
      <c r="A574">
        <v>905</v>
      </c>
      <c r="B574" s="1" t="s">
        <v>413</v>
      </c>
      <c r="C574" s="1" t="s">
        <v>414</v>
      </c>
      <c r="D574" s="1" t="s">
        <v>415</v>
      </c>
      <c r="E574" s="1" t="s">
        <v>423</v>
      </c>
    </row>
    <row r="575" spans="1:5" x14ac:dyDescent="0.25">
      <c r="A575">
        <v>906</v>
      </c>
      <c r="B575" s="1" t="s">
        <v>328</v>
      </c>
      <c r="C575" s="1" t="s">
        <v>329</v>
      </c>
      <c r="D575" s="1" t="s">
        <v>415</v>
      </c>
      <c r="E575" s="1" t="s">
        <v>423</v>
      </c>
    </row>
    <row r="576" spans="1:5" x14ac:dyDescent="0.25">
      <c r="A576">
        <v>915</v>
      </c>
      <c r="B576" s="1" t="s">
        <v>344</v>
      </c>
      <c r="C576" s="1" t="s">
        <v>345</v>
      </c>
      <c r="D576" s="1" t="s">
        <v>415</v>
      </c>
      <c r="E576" s="1" t="s">
        <v>423</v>
      </c>
    </row>
    <row r="577" spans="1:5" x14ac:dyDescent="0.25">
      <c r="A577">
        <v>922</v>
      </c>
      <c r="B577" s="1" t="s">
        <v>344</v>
      </c>
      <c r="C577" s="1" t="s">
        <v>345</v>
      </c>
      <c r="D577" s="1" t="s">
        <v>415</v>
      </c>
      <c r="E577" s="1" t="s">
        <v>423</v>
      </c>
    </row>
    <row r="578" spans="1:5" x14ac:dyDescent="0.25">
      <c r="A578">
        <v>931</v>
      </c>
      <c r="B578" s="1" t="s">
        <v>240</v>
      </c>
      <c r="C578" s="1" t="s">
        <v>241</v>
      </c>
      <c r="D578" s="1" t="s">
        <v>415</v>
      </c>
      <c r="E578" s="1" t="s">
        <v>423</v>
      </c>
    </row>
    <row r="579" spans="1:5" x14ac:dyDescent="0.25">
      <c r="A579">
        <v>932</v>
      </c>
      <c r="B579" s="1" t="s">
        <v>312</v>
      </c>
      <c r="C579" s="1" t="s">
        <v>313</v>
      </c>
      <c r="D579" s="1" t="s">
        <v>415</v>
      </c>
      <c r="E579" s="1" t="s">
        <v>423</v>
      </c>
    </row>
    <row r="580" spans="1:5" x14ac:dyDescent="0.25">
      <c r="A580">
        <v>938</v>
      </c>
      <c r="B580" s="1" t="s">
        <v>292</v>
      </c>
      <c r="C580" s="1" t="s">
        <v>293</v>
      </c>
      <c r="D580" s="1" t="s">
        <v>415</v>
      </c>
      <c r="E580" s="1" t="s">
        <v>423</v>
      </c>
    </row>
    <row r="581" spans="1:5" x14ac:dyDescent="0.25">
      <c r="A581">
        <v>946</v>
      </c>
      <c r="B581" s="1" t="s">
        <v>240</v>
      </c>
      <c r="C581" s="1" t="s">
        <v>241</v>
      </c>
      <c r="D581" s="1" t="s">
        <v>415</v>
      </c>
      <c r="E581" s="1" t="s">
        <v>423</v>
      </c>
    </row>
    <row r="582" spans="1:5" x14ac:dyDescent="0.25">
      <c r="A582">
        <v>960</v>
      </c>
      <c r="B582" s="1" t="s">
        <v>332</v>
      </c>
      <c r="C582" s="1" t="s">
        <v>333</v>
      </c>
      <c r="D582" s="1" t="s">
        <v>415</v>
      </c>
      <c r="E582" s="1" t="s">
        <v>423</v>
      </c>
    </row>
    <row r="583" spans="1:5" x14ac:dyDescent="0.25">
      <c r="A583">
        <v>993</v>
      </c>
      <c r="B583" s="1" t="s">
        <v>326</v>
      </c>
      <c r="C583" s="1" t="s">
        <v>327</v>
      </c>
      <c r="D583" s="1" t="s">
        <v>415</v>
      </c>
      <c r="E583" s="1" t="s">
        <v>423</v>
      </c>
    </row>
    <row r="584" spans="1:5" x14ac:dyDescent="0.25">
      <c r="A584">
        <v>1</v>
      </c>
      <c r="B584" s="1" t="s">
        <v>230</v>
      </c>
      <c r="C584" s="1" t="s">
        <v>231</v>
      </c>
      <c r="D584" s="1" t="s">
        <v>426</v>
      </c>
      <c r="E584" s="1" t="s">
        <v>427</v>
      </c>
    </row>
    <row r="585" spans="1:5" x14ac:dyDescent="0.25">
      <c r="A585">
        <v>6</v>
      </c>
      <c r="B585" s="1" t="s">
        <v>296</v>
      </c>
      <c r="C585" s="1" t="s">
        <v>297</v>
      </c>
      <c r="D585" s="1" t="s">
        <v>426</v>
      </c>
      <c r="E585" s="1" t="s">
        <v>427</v>
      </c>
    </row>
    <row r="586" spans="1:5" x14ac:dyDescent="0.25">
      <c r="A586">
        <v>17</v>
      </c>
      <c r="B586" s="1" t="s">
        <v>354</v>
      </c>
      <c r="C586" s="1" t="s">
        <v>355</v>
      </c>
      <c r="D586" s="1" t="s">
        <v>426</v>
      </c>
      <c r="E586" s="1" t="s">
        <v>427</v>
      </c>
    </row>
    <row r="587" spans="1:5" x14ac:dyDescent="0.25">
      <c r="A587">
        <v>19</v>
      </c>
      <c r="B587" s="1" t="s">
        <v>326</v>
      </c>
      <c r="C587" s="1" t="s">
        <v>327</v>
      </c>
      <c r="D587" s="1" t="s">
        <v>426</v>
      </c>
      <c r="E587" s="1" t="s">
        <v>427</v>
      </c>
    </row>
    <row r="588" spans="1:5" x14ac:dyDescent="0.25">
      <c r="A588">
        <v>45</v>
      </c>
      <c r="B588" s="1" t="s">
        <v>242</v>
      </c>
      <c r="C588" s="1" t="s">
        <v>243</v>
      </c>
      <c r="D588" s="1" t="s">
        <v>426</v>
      </c>
      <c r="E588" s="1" t="s">
        <v>427</v>
      </c>
    </row>
    <row r="589" spans="1:5" x14ac:dyDescent="0.25">
      <c r="A589">
        <v>59</v>
      </c>
      <c r="B589" s="1" t="s">
        <v>389</v>
      </c>
      <c r="C589" s="1" t="s">
        <v>390</v>
      </c>
      <c r="D589" s="1" t="s">
        <v>426</v>
      </c>
      <c r="E589" s="1" t="s">
        <v>427</v>
      </c>
    </row>
    <row r="590" spans="1:5" x14ac:dyDescent="0.25">
      <c r="A590">
        <v>78</v>
      </c>
      <c r="B590" s="1" t="s">
        <v>328</v>
      </c>
      <c r="C590" s="1" t="s">
        <v>329</v>
      </c>
      <c r="D590" s="1" t="s">
        <v>426</v>
      </c>
      <c r="E590" s="1" t="s">
        <v>427</v>
      </c>
    </row>
    <row r="591" spans="1:5" x14ac:dyDescent="0.25">
      <c r="A591">
        <v>80</v>
      </c>
      <c r="B591" s="1" t="s">
        <v>292</v>
      </c>
      <c r="C591" s="1" t="s">
        <v>293</v>
      </c>
      <c r="D591" s="1" t="s">
        <v>426</v>
      </c>
      <c r="E591" s="1" t="s">
        <v>427</v>
      </c>
    </row>
    <row r="592" spans="1:5" x14ac:dyDescent="0.25">
      <c r="A592">
        <v>84</v>
      </c>
      <c r="B592" s="1" t="s">
        <v>318</v>
      </c>
      <c r="C592" s="1" t="s">
        <v>319</v>
      </c>
      <c r="D592" s="1" t="s">
        <v>426</v>
      </c>
      <c r="E592" s="1" t="s">
        <v>427</v>
      </c>
    </row>
    <row r="593" spans="1:5" x14ac:dyDescent="0.25">
      <c r="A593">
        <v>85</v>
      </c>
      <c r="B593" s="1" t="s">
        <v>234</v>
      </c>
      <c r="C593" s="1" t="s">
        <v>235</v>
      </c>
      <c r="D593" s="1" t="s">
        <v>426</v>
      </c>
      <c r="E593" s="1" t="s">
        <v>427</v>
      </c>
    </row>
    <row r="594" spans="1:5" x14ac:dyDescent="0.25">
      <c r="A594">
        <v>87</v>
      </c>
      <c r="B594" s="1" t="s">
        <v>344</v>
      </c>
      <c r="C594" s="1" t="s">
        <v>345</v>
      </c>
      <c r="D594" s="1" t="s">
        <v>426</v>
      </c>
      <c r="E594" s="1" t="s">
        <v>427</v>
      </c>
    </row>
    <row r="595" spans="1:5" x14ac:dyDescent="0.25">
      <c r="A595">
        <v>90</v>
      </c>
      <c r="B595" s="1" t="s">
        <v>258</v>
      </c>
      <c r="C595" s="1" t="s">
        <v>259</v>
      </c>
      <c r="D595" s="1" t="s">
        <v>426</v>
      </c>
      <c r="E595" s="1" t="s">
        <v>427</v>
      </c>
    </row>
    <row r="596" spans="1:5" x14ac:dyDescent="0.25">
      <c r="A596">
        <v>93</v>
      </c>
      <c r="B596" s="1" t="s">
        <v>276</v>
      </c>
      <c r="C596" s="1" t="s">
        <v>277</v>
      </c>
      <c r="D596" s="1" t="s">
        <v>426</v>
      </c>
      <c r="E596" s="1" t="s">
        <v>427</v>
      </c>
    </row>
    <row r="597" spans="1:5" x14ac:dyDescent="0.25">
      <c r="A597">
        <v>103</v>
      </c>
      <c r="B597" s="1" t="s">
        <v>332</v>
      </c>
      <c r="C597" s="1" t="s">
        <v>333</v>
      </c>
      <c r="D597" s="1" t="s">
        <v>426</v>
      </c>
      <c r="E597" s="1" t="s">
        <v>427</v>
      </c>
    </row>
    <row r="598" spans="1:5" x14ac:dyDescent="0.25">
      <c r="A598">
        <v>114</v>
      </c>
      <c r="B598" s="1" t="s">
        <v>344</v>
      </c>
      <c r="C598" s="1" t="s">
        <v>345</v>
      </c>
      <c r="D598" s="1" t="s">
        <v>426</v>
      </c>
      <c r="E598" s="1" t="s">
        <v>427</v>
      </c>
    </row>
    <row r="599" spans="1:5" x14ac:dyDescent="0.25">
      <c r="A599">
        <v>116</v>
      </c>
      <c r="B599" s="1" t="s">
        <v>387</v>
      </c>
      <c r="C599" s="1" t="s">
        <v>388</v>
      </c>
      <c r="D599" s="1" t="s">
        <v>426</v>
      </c>
      <c r="E599" s="1" t="s">
        <v>427</v>
      </c>
    </row>
    <row r="600" spans="1:5" x14ac:dyDescent="0.25">
      <c r="A600">
        <v>134</v>
      </c>
      <c r="B600" s="1" t="s">
        <v>316</v>
      </c>
      <c r="C600" s="1" t="s">
        <v>317</v>
      </c>
      <c r="D600" s="1" t="s">
        <v>426</v>
      </c>
      <c r="E600" s="1" t="s">
        <v>427</v>
      </c>
    </row>
    <row r="601" spans="1:5" x14ac:dyDescent="0.25">
      <c r="A601">
        <v>142</v>
      </c>
      <c r="B601" s="1" t="s">
        <v>340</v>
      </c>
      <c r="C601" s="1" t="s">
        <v>341</v>
      </c>
      <c r="D601" s="1" t="s">
        <v>426</v>
      </c>
      <c r="E601" s="1" t="s">
        <v>427</v>
      </c>
    </row>
    <row r="602" spans="1:5" x14ac:dyDescent="0.25">
      <c r="A602">
        <v>150</v>
      </c>
      <c r="B602" s="1" t="s">
        <v>266</v>
      </c>
      <c r="C602" s="1" t="s">
        <v>267</v>
      </c>
      <c r="D602" s="1" t="s">
        <v>426</v>
      </c>
      <c r="E602" s="1" t="s">
        <v>427</v>
      </c>
    </row>
    <row r="603" spans="1:5" x14ac:dyDescent="0.25">
      <c r="A603">
        <v>152</v>
      </c>
      <c r="B603" s="1" t="s">
        <v>364</v>
      </c>
      <c r="C603" s="1" t="s">
        <v>365</v>
      </c>
      <c r="D603" s="1" t="s">
        <v>426</v>
      </c>
      <c r="E603" s="1" t="s">
        <v>427</v>
      </c>
    </row>
    <row r="604" spans="1:5" x14ac:dyDescent="0.25">
      <c r="A604">
        <v>163</v>
      </c>
      <c r="B604" s="1" t="s">
        <v>405</v>
      </c>
      <c r="C604" s="1" t="s">
        <v>406</v>
      </c>
      <c r="D604" s="1" t="s">
        <v>426</v>
      </c>
      <c r="E604" s="1" t="s">
        <v>427</v>
      </c>
    </row>
    <row r="605" spans="1:5" x14ac:dyDescent="0.25">
      <c r="A605">
        <v>178</v>
      </c>
      <c r="B605" s="1" t="s">
        <v>362</v>
      </c>
      <c r="C605" s="1" t="s">
        <v>363</v>
      </c>
      <c r="D605" s="1" t="s">
        <v>426</v>
      </c>
      <c r="E605" s="1" t="s">
        <v>427</v>
      </c>
    </row>
    <row r="606" spans="1:5" x14ac:dyDescent="0.25">
      <c r="A606">
        <v>189</v>
      </c>
      <c r="B606" s="1" t="s">
        <v>405</v>
      </c>
      <c r="C606" s="1" t="s">
        <v>406</v>
      </c>
      <c r="D606" s="1" t="s">
        <v>426</v>
      </c>
      <c r="E606" s="1" t="s">
        <v>427</v>
      </c>
    </row>
    <row r="607" spans="1:5" x14ac:dyDescent="0.25">
      <c r="A607">
        <v>191</v>
      </c>
      <c r="B607" s="1" t="s">
        <v>278</v>
      </c>
      <c r="C607" s="1" t="s">
        <v>279</v>
      </c>
      <c r="D607" s="1" t="s">
        <v>426</v>
      </c>
      <c r="E607" s="1" t="s">
        <v>427</v>
      </c>
    </row>
    <row r="608" spans="1:5" x14ac:dyDescent="0.25">
      <c r="A608">
        <v>194</v>
      </c>
      <c r="B608" s="1" t="s">
        <v>282</v>
      </c>
      <c r="C608" s="1" t="s">
        <v>283</v>
      </c>
      <c r="D608" s="1" t="s">
        <v>426</v>
      </c>
      <c r="E608" s="1" t="s">
        <v>427</v>
      </c>
    </row>
    <row r="609" spans="1:5" x14ac:dyDescent="0.25">
      <c r="A609">
        <v>198</v>
      </c>
      <c r="B609" s="1" t="s">
        <v>306</v>
      </c>
      <c r="C609" s="1" t="s">
        <v>307</v>
      </c>
      <c r="D609" s="1" t="s">
        <v>426</v>
      </c>
      <c r="E609" s="1" t="s">
        <v>427</v>
      </c>
    </row>
    <row r="610" spans="1:5" x14ac:dyDescent="0.25">
      <c r="A610">
        <v>203</v>
      </c>
      <c r="B610" s="1" t="s">
        <v>376</v>
      </c>
      <c r="C610" s="1" t="s">
        <v>377</v>
      </c>
      <c r="D610" s="1" t="s">
        <v>426</v>
      </c>
      <c r="E610" s="1" t="s">
        <v>427</v>
      </c>
    </row>
    <row r="611" spans="1:5" x14ac:dyDescent="0.25">
      <c r="A611">
        <v>218</v>
      </c>
      <c r="B611" s="1" t="s">
        <v>419</v>
      </c>
      <c r="C611" s="1" t="s">
        <v>420</v>
      </c>
      <c r="D611" s="1" t="s">
        <v>426</v>
      </c>
      <c r="E611" s="1" t="s">
        <v>427</v>
      </c>
    </row>
    <row r="612" spans="1:5" x14ac:dyDescent="0.25">
      <c r="A612">
        <v>230</v>
      </c>
      <c r="B612" s="1" t="s">
        <v>256</v>
      </c>
      <c r="C612" s="1" t="s">
        <v>257</v>
      </c>
      <c r="D612" s="1" t="s">
        <v>426</v>
      </c>
      <c r="E612" s="1" t="s">
        <v>427</v>
      </c>
    </row>
    <row r="613" spans="1:5" x14ac:dyDescent="0.25">
      <c r="A613">
        <v>235</v>
      </c>
      <c r="B613" s="1" t="s">
        <v>306</v>
      </c>
      <c r="C613" s="1" t="s">
        <v>307</v>
      </c>
      <c r="D613" s="1" t="s">
        <v>426</v>
      </c>
      <c r="E613" s="1" t="s">
        <v>427</v>
      </c>
    </row>
    <row r="614" spans="1:5" x14ac:dyDescent="0.25">
      <c r="A614">
        <v>242</v>
      </c>
      <c r="B614" s="1" t="s">
        <v>292</v>
      </c>
      <c r="C614" s="1" t="s">
        <v>293</v>
      </c>
      <c r="D614" s="1" t="s">
        <v>426</v>
      </c>
      <c r="E614" s="1" t="s">
        <v>427</v>
      </c>
    </row>
    <row r="615" spans="1:5" x14ac:dyDescent="0.25">
      <c r="A615">
        <v>246</v>
      </c>
      <c r="B615" s="1" t="s">
        <v>356</v>
      </c>
      <c r="C615" s="1" t="s">
        <v>357</v>
      </c>
      <c r="D615" s="1" t="s">
        <v>426</v>
      </c>
      <c r="E615" s="1" t="s">
        <v>427</v>
      </c>
    </row>
    <row r="616" spans="1:5" x14ac:dyDescent="0.25">
      <c r="A616">
        <v>250</v>
      </c>
      <c r="B616" s="1" t="s">
        <v>238</v>
      </c>
      <c r="C616" s="1" t="s">
        <v>239</v>
      </c>
      <c r="D616" s="1" t="s">
        <v>426</v>
      </c>
      <c r="E616" s="1" t="s">
        <v>427</v>
      </c>
    </row>
    <row r="617" spans="1:5" x14ac:dyDescent="0.25">
      <c r="A617">
        <v>251</v>
      </c>
      <c r="B617" s="1" t="s">
        <v>334</v>
      </c>
      <c r="C617" s="1" t="s">
        <v>335</v>
      </c>
      <c r="D617" s="1" t="s">
        <v>426</v>
      </c>
      <c r="E617" s="1" t="s">
        <v>427</v>
      </c>
    </row>
    <row r="618" spans="1:5" x14ac:dyDescent="0.25">
      <c r="A618">
        <v>265</v>
      </c>
      <c r="B618" s="1" t="s">
        <v>256</v>
      </c>
      <c r="C618" s="1" t="s">
        <v>257</v>
      </c>
      <c r="D618" s="1" t="s">
        <v>426</v>
      </c>
      <c r="E618" s="1" t="s">
        <v>427</v>
      </c>
    </row>
    <row r="619" spans="1:5" x14ac:dyDescent="0.25">
      <c r="A619">
        <v>275</v>
      </c>
      <c r="B619" s="1" t="s">
        <v>220</v>
      </c>
      <c r="C619" s="1" t="s">
        <v>221</v>
      </c>
      <c r="D619" s="1" t="s">
        <v>426</v>
      </c>
      <c r="E619" s="1" t="s">
        <v>427</v>
      </c>
    </row>
    <row r="620" spans="1:5" x14ac:dyDescent="0.25">
      <c r="A620">
        <v>281</v>
      </c>
      <c r="B620" s="1" t="s">
        <v>342</v>
      </c>
      <c r="C620" s="1" t="s">
        <v>343</v>
      </c>
      <c r="D620" s="1" t="s">
        <v>426</v>
      </c>
      <c r="E620" s="1" t="s">
        <v>427</v>
      </c>
    </row>
    <row r="621" spans="1:5" x14ac:dyDescent="0.25">
      <c r="A621">
        <v>300</v>
      </c>
      <c r="B621" s="1" t="s">
        <v>266</v>
      </c>
      <c r="C621" s="1" t="s">
        <v>267</v>
      </c>
      <c r="D621" s="1" t="s">
        <v>426</v>
      </c>
      <c r="E621" s="1" t="s">
        <v>427</v>
      </c>
    </row>
    <row r="622" spans="1:5" x14ac:dyDescent="0.25">
      <c r="A622">
        <v>304</v>
      </c>
      <c r="B622" s="1" t="s">
        <v>338</v>
      </c>
      <c r="C622" s="1" t="s">
        <v>339</v>
      </c>
      <c r="D622" s="1" t="s">
        <v>426</v>
      </c>
      <c r="E622" s="1" t="s">
        <v>427</v>
      </c>
    </row>
    <row r="623" spans="1:5" x14ac:dyDescent="0.25">
      <c r="A623">
        <v>328</v>
      </c>
      <c r="B623" s="1" t="s">
        <v>352</v>
      </c>
      <c r="C623" s="1" t="s">
        <v>353</v>
      </c>
      <c r="D623" s="1" t="s">
        <v>426</v>
      </c>
      <c r="E623" s="1" t="s">
        <v>427</v>
      </c>
    </row>
    <row r="624" spans="1:5" x14ac:dyDescent="0.25">
      <c r="A624">
        <v>333</v>
      </c>
      <c r="B624" s="1" t="s">
        <v>362</v>
      </c>
      <c r="C624" s="1" t="s">
        <v>363</v>
      </c>
      <c r="D624" s="1" t="s">
        <v>426</v>
      </c>
      <c r="E624" s="1" t="s">
        <v>427</v>
      </c>
    </row>
    <row r="625" spans="1:5" x14ac:dyDescent="0.25">
      <c r="A625">
        <v>335</v>
      </c>
      <c r="B625" s="1" t="s">
        <v>248</v>
      </c>
      <c r="C625" s="1" t="s">
        <v>249</v>
      </c>
      <c r="D625" s="1" t="s">
        <v>426</v>
      </c>
      <c r="E625" s="1" t="s">
        <v>427</v>
      </c>
    </row>
    <row r="626" spans="1:5" x14ac:dyDescent="0.25">
      <c r="A626">
        <v>339</v>
      </c>
      <c r="B626" s="1" t="s">
        <v>302</v>
      </c>
      <c r="C626" s="1" t="s">
        <v>303</v>
      </c>
      <c r="D626" s="1" t="s">
        <v>426</v>
      </c>
      <c r="E626" s="1" t="s">
        <v>427</v>
      </c>
    </row>
    <row r="627" spans="1:5" x14ac:dyDescent="0.25">
      <c r="A627">
        <v>344</v>
      </c>
      <c r="B627" s="1" t="s">
        <v>405</v>
      </c>
      <c r="C627" s="1" t="s">
        <v>406</v>
      </c>
      <c r="D627" s="1" t="s">
        <v>426</v>
      </c>
      <c r="E627" s="1" t="s">
        <v>427</v>
      </c>
    </row>
    <row r="628" spans="1:5" x14ac:dyDescent="0.25">
      <c r="A628">
        <v>347</v>
      </c>
      <c r="B628" s="1" t="s">
        <v>399</v>
      </c>
      <c r="C628" s="1" t="s">
        <v>400</v>
      </c>
      <c r="D628" s="1" t="s">
        <v>426</v>
      </c>
      <c r="E628" s="1" t="s">
        <v>427</v>
      </c>
    </row>
    <row r="629" spans="1:5" x14ac:dyDescent="0.25">
      <c r="A629">
        <v>360</v>
      </c>
      <c r="B629" s="1" t="s">
        <v>272</v>
      </c>
      <c r="C629" s="1" t="s">
        <v>273</v>
      </c>
      <c r="D629" s="1" t="s">
        <v>426</v>
      </c>
      <c r="E629" s="1" t="s">
        <v>427</v>
      </c>
    </row>
    <row r="630" spans="1:5" x14ac:dyDescent="0.25">
      <c r="A630">
        <v>364</v>
      </c>
      <c r="B630" s="1" t="s">
        <v>256</v>
      </c>
      <c r="C630" s="1" t="s">
        <v>257</v>
      </c>
      <c r="D630" s="1" t="s">
        <v>426</v>
      </c>
      <c r="E630" s="1" t="s">
        <v>427</v>
      </c>
    </row>
    <row r="631" spans="1:5" x14ac:dyDescent="0.25">
      <c r="A631">
        <v>366</v>
      </c>
      <c r="B631" s="1" t="s">
        <v>403</v>
      </c>
      <c r="C631" s="1" t="s">
        <v>404</v>
      </c>
      <c r="D631" s="1" t="s">
        <v>426</v>
      </c>
      <c r="E631" s="1" t="s">
        <v>427</v>
      </c>
    </row>
    <row r="632" spans="1:5" x14ac:dyDescent="0.25">
      <c r="A632">
        <v>367</v>
      </c>
      <c r="B632" s="1" t="s">
        <v>401</v>
      </c>
      <c r="C632" s="1" t="s">
        <v>402</v>
      </c>
      <c r="D632" s="1" t="s">
        <v>426</v>
      </c>
      <c r="E632" s="1" t="s">
        <v>427</v>
      </c>
    </row>
    <row r="633" spans="1:5" x14ac:dyDescent="0.25">
      <c r="A633">
        <v>380</v>
      </c>
      <c r="B633" s="1" t="s">
        <v>306</v>
      </c>
      <c r="C633" s="1" t="s">
        <v>307</v>
      </c>
      <c r="D633" s="1" t="s">
        <v>426</v>
      </c>
      <c r="E633" s="1" t="s">
        <v>427</v>
      </c>
    </row>
    <row r="634" spans="1:5" x14ac:dyDescent="0.25">
      <c r="A634">
        <v>404</v>
      </c>
      <c r="B634" s="1" t="s">
        <v>374</v>
      </c>
      <c r="C634" s="1" t="s">
        <v>375</v>
      </c>
      <c r="D634" s="1" t="s">
        <v>426</v>
      </c>
      <c r="E634" s="1" t="s">
        <v>427</v>
      </c>
    </row>
    <row r="635" spans="1:5" x14ac:dyDescent="0.25">
      <c r="A635">
        <v>420</v>
      </c>
      <c r="B635" s="1" t="s">
        <v>376</v>
      </c>
      <c r="C635" s="1" t="s">
        <v>377</v>
      </c>
      <c r="D635" s="1" t="s">
        <v>426</v>
      </c>
      <c r="E635" s="1" t="s">
        <v>427</v>
      </c>
    </row>
    <row r="636" spans="1:5" x14ac:dyDescent="0.25">
      <c r="A636">
        <v>432</v>
      </c>
      <c r="B636" s="1" t="s">
        <v>268</v>
      </c>
      <c r="C636" s="1" t="s">
        <v>269</v>
      </c>
      <c r="D636" s="1" t="s">
        <v>426</v>
      </c>
      <c r="E636" s="1" t="s">
        <v>427</v>
      </c>
    </row>
    <row r="637" spans="1:5" x14ac:dyDescent="0.25">
      <c r="A637">
        <v>434</v>
      </c>
      <c r="B637" s="1" t="s">
        <v>354</v>
      </c>
      <c r="C637" s="1" t="s">
        <v>355</v>
      </c>
      <c r="D637" s="1" t="s">
        <v>426</v>
      </c>
      <c r="E637" s="1" t="s">
        <v>427</v>
      </c>
    </row>
    <row r="638" spans="1:5" x14ac:dyDescent="0.25">
      <c r="A638">
        <v>437</v>
      </c>
      <c r="B638" s="1" t="s">
        <v>411</v>
      </c>
      <c r="C638" s="1" t="s">
        <v>412</v>
      </c>
      <c r="D638" s="1" t="s">
        <v>426</v>
      </c>
      <c r="E638" s="1" t="s">
        <v>427</v>
      </c>
    </row>
    <row r="639" spans="1:5" x14ac:dyDescent="0.25">
      <c r="A639">
        <v>442</v>
      </c>
      <c r="B639" s="1" t="s">
        <v>334</v>
      </c>
      <c r="C639" s="1" t="s">
        <v>335</v>
      </c>
      <c r="D639" s="1" t="s">
        <v>426</v>
      </c>
      <c r="E639" s="1" t="s">
        <v>427</v>
      </c>
    </row>
    <row r="640" spans="1:5" x14ac:dyDescent="0.25">
      <c r="A640">
        <v>453</v>
      </c>
      <c r="B640" s="1" t="s">
        <v>256</v>
      </c>
      <c r="C640" s="1" t="s">
        <v>257</v>
      </c>
      <c r="D640" s="1" t="s">
        <v>426</v>
      </c>
      <c r="E640" s="1" t="s">
        <v>427</v>
      </c>
    </row>
    <row r="641" spans="1:5" x14ac:dyDescent="0.25">
      <c r="A641">
        <v>459</v>
      </c>
      <c r="B641" s="1" t="s">
        <v>228</v>
      </c>
      <c r="C641" s="1" t="s">
        <v>229</v>
      </c>
      <c r="D641" s="1" t="s">
        <v>426</v>
      </c>
      <c r="E641" s="1" t="s">
        <v>427</v>
      </c>
    </row>
    <row r="642" spans="1:5" x14ac:dyDescent="0.25">
      <c r="A642">
        <v>476</v>
      </c>
      <c r="B642" s="1" t="s">
        <v>358</v>
      </c>
      <c r="C642" s="1" t="s">
        <v>359</v>
      </c>
      <c r="D642" s="1" t="s">
        <v>426</v>
      </c>
      <c r="E642" s="1" t="s">
        <v>427</v>
      </c>
    </row>
    <row r="643" spans="1:5" x14ac:dyDescent="0.25">
      <c r="A643">
        <v>493</v>
      </c>
      <c r="B643" s="1" t="s">
        <v>334</v>
      </c>
      <c r="C643" s="1" t="s">
        <v>335</v>
      </c>
      <c r="D643" s="1" t="s">
        <v>426</v>
      </c>
      <c r="E643" s="1" t="s">
        <v>427</v>
      </c>
    </row>
    <row r="644" spans="1:5" x14ac:dyDescent="0.25">
      <c r="A644">
        <v>494</v>
      </c>
      <c r="B644" s="1" t="s">
        <v>276</v>
      </c>
      <c r="C644" s="1" t="s">
        <v>277</v>
      </c>
      <c r="D644" s="1" t="s">
        <v>426</v>
      </c>
      <c r="E644" s="1" t="s">
        <v>427</v>
      </c>
    </row>
    <row r="645" spans="1:5" x14ac:dyDescent="0.25">
      <c r="A645">
        <v>500</v>
      </c>
      <c r="B645" s="1" t="s">
        <v>278</v>
      </c>
      <c r="C645" s="1" t="s">
        <v>279</v>
      </c>
      <c r="D645" s="1" t="s">
        <v>426</v>
      </c>
      <c r="E645" s="1" t="s">
        <v>427</v>
      </c>
    </row>
    <row r="646" spans="1:5" x14ac:dyDescent="0.25">
      <c r="A646">
        <v>502</v>
      </c>
      <c r="B646" s="1" t="s">
        <v>395</v>
      </c>
      <c r="C646" s="1" t="s">
        <v>396</v>
      </c>
      <c r="D646" s="1" t="s">
        <v>426</v>
      </c>
      <c r="E646" s="1" t="s">
        <v>427</v>
      </c>
    </row>
    <row r="647" spans="1:5" x14ac:dyDescent="0.25">
      <c r="A647">
        <v>517</v>
      </c>
      <c r="B647" s="1" t="s">
        <v>266</v>
      </c>
      <c r="C647" s="1" t="s">
        <v>267</v>
      </c>
      <c r="D647" s="1" t="s">
        <v>426</v>
      </c>
      <c r="E647" s="1" t="s">
        <v>427</v>
      </c>
    </row>
    <row r="648" spans="1:5" x14ac:dyDescent="0.25">
      <c r="A648">
        <v>518</v>
      </c>
      <c r="B648" s="1" t="s">
        <v>356</v>
      </c>
      <c r="C648" s="1" t="s">
        <v>357</v>
      </c>
      <c r="D648" s="1" t="s">
        <v>426</v>
      </c>
      <c r="E648" s="1" t="s">
        <v>427</v>
      </c>
    </row>
    <row r="649" spans="1:5" x14ac:dyDescent="0.25">
      <c r="A649">
        <v>526</v>
      </c>
      <c r="B649" s="1" t="s">
        <v>340</v>
      </c>
      <c r="C649" s="1" t="s">
        <v>341</v>
      </c>
      <c r="D649" s="1" t="s">
        <v>426</v>
      </c>
      <c r="E649" s="1" t="s">
        <v>427</v>
      </c>
    </row>
    <row r="650" spans="1:5" x14ac:dyDescent="0.25">
      <c r="A650">
        <v>546</v>
      </c>
      <c r="B650" s="1" t="s">
        <v>382</v>
      </c>
      <c r="C650" s="1" t="s">
        <v>383</v>
      </c>
      <c r="D650" s="1" t="s">
        <v>426</v>
      </c>
      <c r="E650" s="1" t="s">
        <v>427</v>
      </c>
    </row>
    <row r="651" spans="1:5" x14ac:dyDescent="0.25">
      <c r="A651">
        <v>566</v>
      </c>
      <c r="B651" s="1" t="s">
        <v>387</v>
      </c>
      <c r="C651" s="1" t="s">
        <v>388</v>
      </c>
      <c r="D651" s="1" t="s">
        <v>426</v>
      </c>
      <c r="E651" s="1" t="s">
        <v>427</v>
      </c>
    </row>
    <row r="652" spans="1:5" x14ac:dyDescent="0.25">
      <c r="A652">
        <v>570</v>
      </c>
      <c r="B652" s="1" t="s">
        <v>236</v>
      </c>
      <c r="C652" s="1" t="s">
        <v>237</v>
      </c>
      <c r="D652" s="1" t="s">
        <v>426</v>
      </c>
      <c r="E652" s="1" t="s">
        <v>427</v>
      </c>
    </row>
    <row r="653" spans="1:5" x14ac:dyDescent="0.25">
      <c r="A653">
        <v>591</v>
      </c>
      <c r="B653" s="1" t="s">
        <v>350</v>
      </c>
      <c r="C653" s="1" t="s">
        <v>351</v>
      </c>
      <c r="D653" s="1" t="s">
        <v>426</v>
      </c>
      <c r="E653" s="1" t="s">
        <v>427</v>
      </c>
    </row>
    <row r="654" spans="1:5" x14ac:dyDescent="0.25">
      <c r="A654">
        <v>597</v>
      </c>
      <c r="B654" s="1" t="s">
        <v>278</v>
      </c>
      <c r="C654" s="1" t="s">
        <v>279</v>
      </c>
      <c r="D654" s="1" t="s">
        <v>426</v>
      </c>
      <c r="E654" s="1" t="s">
        <v>427</v>
      </c>
    </row>
    <row r="655" spans="1:5" x14ac:dyDescent="0.25">
      <c r="A655">
        <v>607</v>
      </c>
      <c r="B655" s="1" t="s">
        <v>380</v>
      </c>
      <c r="C655" s="1" t="s">
        <v>381</v>
      </c>
      <c r="D655" s="1" t="s">
        <v>426</v>
      </c>
      <c r="E655" s="1" t="s">
        <v>427</v>
      </c>
    </row>
    <row r="656" spans="1:5" x14ac:dyDescent="0.25">
      <c r="A656">
        <v>608</v>
      </c>
      <c r="B656" s="1" t="s">
        <v>330</v>
      </c>
      <c r="C656" s="1" t="s">
        <v>331</v>
      </c>
      <c r="D656" s="1" t="s">
        <v>426</v>
      </c>
      <c r="E656" s="1" t="s">
        <v>427</v>
      </c>
    </row>
    <row r="657" spans="1:5" x14ac:dyDescent="0.25">
      <c r="A657">
        <v>628</v>
      </c>
      <c r="B657" s="1" t="s">
        <v>304</v>
      </c>
      <c r="C657" s="1" t="s">
        <v>305</v>
      </c>
      <c r="D657" s="1" t="s">
        <v>426</v>
      </c>
      <c r="E657" s="1" t="s">
        <v>427</v>
      </c>
    </row>
    <row r="658" spans="1:5" x14ac:dyDescent="0.25">
      <c r="A658">
        <v>639</v>
      </c>
      <c r="B658" s="1" t="s">
        <v>362</v>
      </c>
      <c r="C658" s="1" t="s">
        <v>363</v>
      </c>
      <c r="D658" s="1" t="s">
        <v>426</v>
      </c>
      <c r="E658" s="1" t="s">
        <v>427</v>
      </c>
    </row>
    <row r="659" spans="1:5" x14ac:dyDescent="0.25">
      <c r="A659">
        <v>640</v>
      </c>
      <c r="B659" s="1" t="s">
        <v>298</v>
      </c>
      <c r="C659" s="1" t="s">
        <v>299</v>
      </c>
      <c r="D659" s="1" t="s">
        <v>426</v>
      </c>
      <c r="E659" s="1" t="s">
        <v>427</v>
      </c>
    </row>
    <row r="660" spans="1:5" x14ac:dyDescent="0.25">
      <c r="A660">
        <v>641</v>
      </c>
      <c r="B660" s="1" t="s">
        <v>364</v>
      </c>
      <c r="C660" s="1" t="s">
        <v>365</v>
      </c>
      <c r="D660" s="1" t="s">
        <v>426</v>
      </c>
      <c r="E660" s="1" t="s">
        <v>427</v>
      </c>
    </row>
    <row r="661" spans="1:5" x14ac:dyDescent="0.25">
      <c r="A661">
        <v>644</v>
      </c>
      <c r="B661" s="1" t="s">
        <v>399</v>
      </c>
      <c r="C661" s="1" t="s">
        <v>400</v>
      </c>
      <c r="D661" s="1" t="s">
        <v>426</v>
      </c>
      <c r="E661" s="1" t="s">
        <v>427</v>
      </c>
    </row>
    <row r="662" spans="1:5" x14ac:dyDescent="0.25">
      <c r="A662">
        <v>655</v>
      </c>
      <c r="B662" s="1" t="s">
        <v>370</v>
      </c>
      <c r="C662" s="1" t="s">
        <v>371</v>
      </c>
      <c r="D662" s="1" t="s">
        <v>426</v>
      </c>
      <c r="E662" s="1" t="s">
        <v>427</v>
      </c>
    </row>
    <row r="663" spans="1:5" x14ac:dyDescent="0.25">
      <c r="A663">
        <v>667</v>
      </c>
      <c r="B663" s="1" t="s">
        <v>401</v>
      </c>
      <c r="C663" s="1" t="s">
        <v>402</v>
      </c>
      <c r="D663" s="1" t="s">
        <v>426</v>
      </c>
      <c r="E663" s="1" t="s">
        <v>427</v>
      </c>
    </row>
    <row r="664" spans="1:5" x14ac:dyDescent="0.25">
      <c r="A664">
        <v>670</v>
      </c>
      <c r="B664" s="1" t="s">
        <v>411</v>
      </c>
      <c r="C664" s="1" t="s">
        <v>412</v>
      </c>
      <c r="D664" s="1" t="s">
        <v>426</v>
      </c>
      <c r="E664" s="1" t="s">
        <v>427</v>
      </c>
    </row>
    <row r="665" spans="1:5" x14ac:dyDescent="0.25">
      <c r="A665">
        <v>673</v>
      </c>
      <c r="B665" s="1" t="s">
        <v>417</v>
      </c>
      <c r="C665" s="1" t="s">
        <v>418</v>
      </c>
      <c r="D665" s="1" t="s">
        <v>426</v>
      </c>
      <c r="E665" s="1" t="s">
        <v>427</v>
      </c>
    </row>
    <row r="666" spans="1:5" x14ac:dyDescent="0.25">
      <c r="A666">
        <v>692</v>
      </c>
      <c r="B666" s="1" t="s">
        <v>322</v>
      </c>
      <c r="C666" s="1" t="s">
        <v>323</v>
      </c>
      <c r="D666" s="1" t="s">
        <v>426</v>
      </c>
      <c r="E666" s="1" t="s">
        <v>427</v>
      </c>
    </row>
    <row r="667" spans="1:5" x14ac:dyDescent="0.25">
      <c r="A667">
        <v>696</v>
      </c>
      <c r="B667" s="1" t="s">
        <v>308</v>
      </c>
      <c r="C667" s="1" t="s">
        <v>309</v>
      </c>
      <c r="D667" s="1" t="s">
        <v>426</v>
      </c>
      <c r="E667" s="1" t="s">
        <v>427</v>
      </c>
    </row>
    <row r="668" spans="1:5" x14ac:dyDescent="0.25">
      <c r="A668">
        <v>701</v>
      </c>
      <c r="B668" s="1" t="s">
        <v>268</v>
      </c>
      <c r="C668" s="1" t="s">
        <v>269</v>
      </c>
      <c r="D668" s="1" t="s">
        <v>426</v>
      </c>
      <c r="E668" s="1" t="s">
        <v>427</v>
      </c>
    </row>
    <row r="669" spans="1:5" x14ac:dyDescent="0.25">
      <c r="A669">
        <v>703</v>
      </c>
      <c r="B669" s="1" t="s">
        <v>288</v>
      </c>
      <c r="C669" s="1" t="s">
        <v>289</v>
      </c>
      <c r="D669" s="1" t="s">
        <v>426</v>
      </c>
      <c r="E669" s="1" t="s">
        <v>427</v>
      </c>
    </row>
    <row r="670" spans="1:5" x14ac:dyDescent="0.25">
      <c r="A670">
        <v>709</v>
      </c>
      <c r="B670" s="1" t="s">
        <v>419</v>
      </c>
      <c r="C670" s="1" t="s">
        <v>420</v>
      </c>
      <c r="D670" s="1" t="s">
        <v>426</v>
      </c>
      <c r="E670" s="1" t="s">
        <v>427</v>
      </c>
    </row>
    <row r="671" spans="1:5" x14ac:dyDescent="0.25">
      <c r="A671">
        <v>711</v>
      </c>
      <c r="B671" s="1" t="s">
        <v>316</v>
      </c>
      <c r="C671" s="1" t="s">
        <v>317</v>
      </c>
      <c r="D671" s="1" t="s">
        <v>426</v>
      </c>
      <c r="E671" s="1" t="s">
        <v>427</v>
      </c>
    </row>
    <row r="672" spans="1:5" x14ac:dyDescent="0.25">
      <c r="A672">
        <v>713</v>
      </c>
      <c r="B672" s="1" t="s">
        <v>260</v>
      </c>
      <c r="C672" s="1" t="s">
        <v>261</v>
      </c>
      <c r="D672" s="1" t="s">
        <v>426</v>
      </c>
      <c r="E672" s="1" t="s">
        <v>427</v>
      </c>
    </row>
    <row r="673" spans="1:5" x14ac:dyDescent="0.25">
      <c r="A673">
        <v>716</v>
      </c>
      <c r="B673" s="1" t="s">
        <v>403</v>
      </c>
      <c r="C673" s="1" t="s">
        <v>404</v>
      </c>
      <c r="D673" s="1" t="s">
        <v>426</v>
      </c>
      <c r="E673" s="1" t="s">
        <v>427</v>
      </c>
    </row>
    <row r="674" spans="1:5" x14ac:dyDescent="0.25">
      <c r="A674">
        <v>729</v>
      </c>
      <c r="B674" s="1" t="s">
        <v>250</v>
      </c>
      <c r="C674" s="1" t="s">
        <v>251</v>
      </c>
      <c r="D674" s="1" t="s">
        <v>426</v>
      </c>
      <c r="E674" s="1" t="s">
        <v>427</v>
      </c>
    </row>
    <row r="675" spans="1:5" x14ac:dyDescent="0.25">
      <c r="A675">
        <v>732</v>
      </c>
      <c r="B675" s="1" t="s">
        <v>391</v>
      </c>
      <c r="C675" s="1" t="s">
        <v>392</v>
      </c>
      <c r="D675" s="1" t="s">
        <v>426</v>
      </c>
      <c r="E675" s="1" t="s">
        <v>427</v>
      </c>
    </row>
    <row r="676" spans="1:5" x14ac:dyDescent="0.25">
      <c r="A676">
        <v>736</v>
      </c>
      <c r="B676" s="1" t="s">
        <v>424</v>
      </c>
      <c r="C676" s="1" t="s">
        <v>425</v>
      </c>
      <c r="D676" s="1" t="s">
        <v>426</v>
      </c>
      <c r="E676" s="1" t="s">
        <v>427</v>
      </c>
    </row>
    <row r="677" spans="1:5" x14ac:dyDescent="0.25">
      <c r="A677">
        <v>741</v>
      </c>
      <c r="B677" s="1" t="s">
        <v>286</v>
      </c>
      <c r="C677" s="1" t="s">
        <v>287</v>
      </c>
      <c r="D677" s="1" t="s">
        <v>426</v>
      </c>
      <c r="E677" s="1" t="s">
        <v>427</v>
      </c>
    </row>
    <row r="678" spans="1:5" x14ac:dyDescent="0.25">
      <c r="A678">
        <v>746</v>
      </c>
      <c r="B678" s="1" t="s">
        <v>356</v>
      </c>
      <c r="C678" s="1" t="s">
        <v>357</v>
      </c>
      <c r="D678" s="1" t="s">
        <v>426</v>
      </c>
      <c r="E678" s="1" t="s">
        <v>427</v>
      </c>
    </row>
    <row r="679" spans="1:5" x14ac:dyDescent="0.25">
      <c r="A679">
        <v>753</v>
      </c>
      <c r="B679" s="1" t="s">
        <v>304</v>
      </c>
      <c r="C679" s="1" t="s">
        <v>305</v>
      </c>
      <c r="D679" s="1" t="s">
        <v>426</v>
      </c>
      <c r="E679" s="1" t="s">
        <v>427</v>
      </c>
    </row>
    <row r="680" spans="1:5" x14ac:dyDescent="0.25">
      <c r="A680">
        <v>763</v>
      </c>
      <c r="B680" s="1" t="s">
        <v>362</v>
      </c>
      <c r="C680" s="1" t="s">
        <v>363</v>
      </c>
      <c r="D680" s="1" t="s">
        <v>426</v>
      </c>
      <c r="E680" s="1" t="s">
        <v>427</v>
      </c>
    </row>
    <row r="681" spans="1:5" x14ac:dyDescent="0.25">
      <c r="A681">
        <v>766</v>
      </c>
      <c r="B681" s="1" t="s">
        <v>358</v>
      </c>
      <c r="C681" s="1" t="s">
        <v>359</v>
      </c>
      <c r="D681" s="1" t="s">
        <v>426</v>
      </c>
      <c r="E681" s="1" t="s">
        <v>427</v>
      </c>
    </row>
    <row r="682" spans="1:5" x14ac:dyDescent="0.25">
      <c r="A682">
        <v>771</v>
      </c>
      <c r="B682" s="1" t="s">
        <v>270</v>
      </c>
      <c r="C682" s="1" t="s">
        <v>271</v>
      </c>
      <c r="D682" s="1" t="s">
        <v>426</v>
      </c>
      <c r="E682" s="1" t="s">
        <v>427</v>
      </c>
    </row>
    <row r="683" spans="1:5" x14ac:dyDescent="0.25">
      <c r="A683">
        <v>779</v>
      </c>
      <c r="B683" s="1" t="s">
        <v>374</v>
      </c>
      <c r="C683" s="1" t="s">
        <v>375</v>
      </c>
      <c r="D683" s="1" t="s">
        <v>426</v>
      </c>
      <c r="E683" s="1" t="s">
        <v>427</v>
      </c>
    </row>
    <row r="684" spans="1:5" x14ac:dyDescent="0.25">
      <c r="A684">
        <v>788</v>
      </c>
      <c r="B684" s="1" t="s">
        <v>374</v>
      </c>
      <c r="C684" s="1" t="s">
        <v>375</v>
      </c>
      <c r="D684" s="1" t="s">
        <v>426</v>
      </c>
      <c r="E684" s="1" t="s">
        <v>427</v>
      </c>
    </row>
    <row r="685" spans="1:5" x14ac:dyDescent="0.25">
      <c r="A685">
        <v>812</v>
      </c>
      <c r="B685" s="1" t="s">
        <v>385</v>
      </c>
      <c r="C685" s="1" t="s">
        <v>386</v>
      </c>
      <c r="D685" s="1" t="s">
        <v>426</v>
      </c>
      <c r="E685" s="1" t="s">
        <v>427</v>
      </c>
    </row>
    <row r="686" spans="1:5" x14ac:dyDescent="0.25">
      <c r="A686">
        <v>813</v>
      </c>
      <c r="B686" s="1" t="s">
        <v>314</v>
      </c>
      <c r="C686" s="1" t="s">
        <v>315</v>
      </c>
      <c r="D686" s="1" t="s">
        <v>426</v>
      </c>
      <c r="E686" s="1" t="s">
        <v>427</v>
      </c>
    </row>
    <row r="687" spans="1:5" x14ac:dyDescent="0.25">
      <c r="A687">
        <v>826</v>
      </c>
      <c r="B687" s="1" t="s">
        <v>387</v>
      </c>
      <c r="C687" s="1" t="s">
        <v>388</v>
      </c>
      <c r="D687" s="1" t="s">
        <v>426</v>
      </c>
      <c r="E687" s="1" t="s">
        <v>427</v>
      </c>
    </row>
    <row r="688" spans="1:5" x14ac:dyDescent="0.25">
      <c r="A688">
        <v>827</v>
      </c>
      <c r="B688" s="1" t="s">
        <v>389</v>
      </c>
      <c r="C688" s="1" t="s">
        <v>390</v>
      </c>
      <c r="D688" s="1" t="s">
        <v>426</v>
      </c>
      <c r="E688" s="1" t="s">
        <v>427</v>
      </c>
    </row>
    <row r="689" spans="1:5" x14ac:dyDescent="0.25">
      <c r="A689">
        <v>834</v>
      </c>
      <c r="B689" s="1" t="s">
        <v>366</v>
      </c>
      <c r="C689" s="1" t="s">
        <v>367</v>
      </c>
      <c r="D689" s="1" t="s">
        <v>426</v>
      </c>
      <c r="E689" s="1" t="s">
        <v>427</v>
      </c>
    </row>
    <row r="690" spans="1:5" x14ac:dyDescent="0.25">
      <c r="A690">
        <v>838</v>
      </c>
      <c r="B690" s="1" t="s">
        <v>316</v>
      </c>
      <c r="C690" s="1" t="s">
        <v>317</v>
      </c>
      <c r="D690" s="1" t="s">
        <v>426</v>
      </c>
      <c r="E690" s="1" t="s">
        <v>427</v>
      </c>
    </row>
    <row r="691" spans="1:5" x14ac:dyDescent="0.25">
      <c r="A691">
        <v>842</v>
      </c>
      <c r="B691" s="1" t="s">
        <v>228</v>
      </c>
      <c r="C691" s="1" t="s">
        <v>229</v>
      </c>
      <c r="D691" s="1" t="s">
        <v>426</v>
      </c>
      <c r="E691" s="1" t="s">
        <v>427</v>
      </c>
    </row>
    <row r="692" spans="1:5" x14ac:dyDescent="0.25">
      <c r="A692">
        <v>863</v>
      </c>
      <c r="B692" s="1" t="s">
        <v>260</v>
      </c>
      <c r="C692" s="1" t="s">
        <v>261</v>
      </c>
      <c r="D692" s="1" t="s">
        <v>426</v>
      </c>
      <c r="E692" s="1" t="s">
        <v>427</v>
      </c>
    </row>
    <row r="693" spans="1:5" x14ac:dyDescent="0.25">
      <c r="A693">
        <v>869</v>
      </c>
      <c r="B693" s="1" t="s">
        <v>334</v>
      </c>
      <c r="C693" s="1" t="s">
        <v>335</v>
      </c>
      <c r="D693" s="1" t="s">
        <v>426</v>
      </c>
      <c r="E693" s="1" t="s">
        <v>427</v>
      </c>
    </row>
    <row r="694" spans="1:5" x14ac:dyDescent="0.25">
      <c r="A694">
        <v>870</v>
      </c>
      <c r="B694" s="1" t="s">
        <v>324</v>
      </c>
      <c r="C694" s="1" t="s">
        <v>325</v>
      </c>
      <c r="D694" s="1" t="s">
        <v>426</v>
      </c>
      <c r="E694" s="1" t="s">
        <v>427</v>
      </c>
    </row>
    <row r="695" spans="1:5" x14ac:dyDescent="0.25">
      <c r="A695">
        <v>878</v>
      </c>
      <c r="B695" s="1" t="s">
        <v>272</v>
      </c>
      <c r="C695" s="1" t="s">
        <v>273</v>
      </c>
      <c r="D695" s="1" t="s">
        <v>426</v>
      </c>
      <c r="E695" s="1" t="s">
        <v>427</v>
      </c>
    </row>
    <row r="696" spans="1:5" x14ac:dyDescent="0.25">
      <c r="A696">
        <v>884</v>
      </c>
      <c r="B696" s="1" t="s">
        <v>407</v>
      </c>
      <c r="C696" s="1" t="s">
        <v>408</v>
      </c>
      <c r="D696" s="1" t="s">
        <v>426</v>
      </c>
      <c r="E696" s="1" t="s">
        <v>427</v>
      </c>
    </row>
    <row r="697" spans="1:5" x14ac:dyDescent="0.25">
      <c r="A697">
        <v>892</v>
      </c>
      <c r="B697" s="1" t="s">
        <v>268</v>
      </c>
      <c r="C697" s="1" t="s">
        <v>269</v>
      </c>
      <c r="D697" s="1" t="s">
        <v>426</v>
      </c>
      <c r="E697" s="1" t="s">
        <v>427</v>
      </c>
    </row>
    <row r="698" spans="1:5" x14ac:dyDescent="0.25">
      <c r="A698">
        <v>893</v>
      </c>
      <c r="B698" s="1" t="s">
        <v>316</v>
      </c>
      <c r="C698" s="1" t="s">
        <v>317</v>
      </c>
      <c r="D698" s="1" t="s">
        <v>426</v>
      </c>
      <c r="E698" s="1" t="s">
        <v>427</v>
      </c>
    </row>
    <row r="699" spans="1:5" x14ac:dyDescent="0.25">
      <c r="A699">
        <v>897</v>
      </c>
      <c r="B699" s="1" t="s">
        <v>234</v>
      </c>
      <c r="C699" s="1" t="s">
        <v>235</v>
      </c>
      <c r="D699" s="1" t="s">
        <v>426</v>
      </c>
      <c r="E699" s="1" t="s">
        <v>427</v>
      </c>
    </row>
    <row r="700" spans="1:5" x14ac:dyDescent="0.25">
      <c r="A700">
        <v>900</v>
      </c>
      <c r="B700" s="1" t="s">
        <v>308</v>
      </c>
      <c r="C700" s="1" t="s">
        <v>309</v>
      </c>
      <c r="D700" s="1" t="s">
        <v>426</v>
      </c>
      <c r="E700" s="1" t="s">
        <v>427</v>
      </c>
    </row>
    <row r="701" spans="1:5" x14ac:dyDescent="0.25">
      <c r="A701">
        <v>901</v>
      </c>
      <c r="B701" s="1" t="s">
        <v>360</v>
      </c>
      <c r="C701" s="1" t="s">
        <v>361</v>
      </c>
      <c r="D701" s="1" t="s">
        <v>426</v>
      </c>
      <c r="E701" s="1" t="s">
        <v>427</v>
      </c>
    </row>
    <row r="702" spans="1:5" x14ac:dyDescent="0.25">
      <c r="A702">
        <v>914</v>
      </c>
      <c r="B702" s="1" t="s">
        <v>348</v>
      </c>
      <c r="C702" s="1" t="s">
        <v>349</v>
      </c>
      <c r="D702" s="1" t="s">
        <v>426</v>
      </c>
      <c r="E702" s="1" t="s">
        <v>427</v>
      </c>
    </row>
    <row r="703" spans="1:5" x14ac:dyDescent="0.25">
      <c r="A703">
        <v>916</v>
      </c>
      <c r="B703" s="1" t="s">
        <v>290</v>
      </c>
      <c r="C703" s="1" t="s">
        <v>291</v>
      </c>
      <c r="D703" s="1" t="s">
        <v>426</v>
      </c>
      <c r="E703" s="1" t="s">
        <v>427</v>
      </c>
    </row>
    <row r="704" spans="1:5" x14ac:dyDescent="0.25">
      <c r="A704">
        <v>921</v>
      </c>
      <c r="B704" s="1" t="s">
        <v>407</v>
      </c>
      <c r="C704" s="1" t="s">
        <v>408</v>
      </c>
      <c r="D704" s="1" t="s">
        <v>426</v>
      </c>
      <c r="E704" s="1" t="s">
        <v>427</v>
      </c>
    </row>
    <row r="705" spans="1:5" x14ac:dyDescent="0.25">
      <c r="A705">
        <v>926</v>
      </c>
      <c r="B705" s="1" t="s">
        <v>290</v>
      </c>
      <c r="C705" s="1" t="s">
        <v>291</v>
      </c>
      <c r="D705" s="1" t="s">
        <v>426</v>
      </c>
      <c r="E705" s="1" t="s">
        <v>427</v>
      </c>
    </row>
    <row r="706" spans="1:5" x14ac:dyDescent="0.25">
      <c r="A706">
        <v>928</v>
      </c>
      <c r="B706" s="1" t="s">
        <v>280</v>
      </c>
      <c r="C706" s="1" t="s">
        <v>281</v>
      </c>
      <c r="D706" s="1" t="s">
        <v>426</v>
      </c>
      <c r="E706" s="1" t="s">
        <v>427</v>
      </c>
    </row>
    <row r="707" spans="1:5" x14ac:dyDescent="0.25">
      <c r="A707">
        <v>929</v>
      </c>
      <c r="B707" s="1" t="s">
        <v>242</v>
      </c>
      <c r="C707" s="1" t="s">
        <v>243</v>
      </c>
      <c r="D707" s="1" t="s">
        <v>426</v>
      </c>
      <c r="E707" s="1" t="s">
        <v>427</v>
      </c>
    </row>
    <row r="708" spans="1:5" x14ac:dyDescent="0.25">
      <c r="A708">
        <v>933</v>
      </c>
      <c r="B708" s="1" t="s">
        <v>278</v>
      </c>
      <c r="C708" s="1" t="s">
        <v>279</v>
      </c>
      <c r="D708" s="1" t="s">
        <v>426</v>
      </c>
      <c r="E708" s="1" t="s">
        <v>427</v>
      </c>
    </row>
    <row r="709" spans="1:5" x14ac:dyDescent="0.25">
      <c r="A709">
        <v>936</v>
      </c>
      <c r="B709" s="1" t="s">
        <v>419</v>
      </c>
      <c r="C709" s="1" t="s">
        <v>420</v>
      </c>
      <c r="D709" s="1" t="s">
        <v>426</v>
      </c>
      <c r="E709" s="1" t="s">
        <v>427</v>
      </c>
    </row>
    <row r="710" spans="1:5" x14ac:dyDescent="0.25">
      <c r="A710">
        <v>943</v>
      </c>
      <c r="B710" s="1" t="s">
        <v>282</v>
      </c>
      <c r="C710" s="1" t="s">
        <v>283</v>
      </c>
      <c r="D710" s="1" t="s">
        <v>426</v>
      </c>
      <c r="E710" s="1" t="s">
        <v>427</v>
      </c>
    </row>
    <row r="711" spans="1:5" x14ac:dyDescent="0.25">
      <c r="A711">
        <v>944</v>
      </c>
      <c r="B711" s="1" t="s">
        <v>268</v>
      </c>
      <c r="C711" s="1" t="s">
        <v>269</v>
      </c>
      <c r="D711" s="1" t="s">
        <v>426</v>
      </c>
      <c r="E711" s="1" t="s">
        <v>427</v>
      </c>
    </row>
    <row r="712" spans="1:5" x14ac:dyDescent="0.25">
      <c r="A712">
        <v>945</v>
      </c>
      <c r="B712" s="1" t="s">
        <v>230</v>
      </c>
      <c r="C712" s="1" t="s">
        <v>231</v>
      </c>
      <c r="D712" s="1" t="s">
        <v>426</v>
      </c>
      <c r="E712" s="1" t="s">
        <v>427</v>
      </c>
    </row>
    <row r="713" spans="1:5" x14ac:dyDescent="0.25">
      <c r="A713">
        <v>950</v>
      </c>
      <c r="B713" s="1" t="s">
        <v>268</v>
      </c>
      <c r="C713" s="1" t="s">
        <v>269</v>
      </c>
      <c r="D713" s="1" t="s">
        <v>426</v>
      </c>
      <c r="E713" s="1" t="s">
        <v>427</v>
      </c>
    </row>
    <row r="714" spans="1:5" x14ac:dyDescent="0.25">
      <c r="A714">
        <v>963</v>
      </c>
      <c r="B714" s="1" t="s">
        <v>298</v>
      </c>
      <c r="C714" s="1" t="s">
        <v>299</v>
      </c>
      <c r="D714" s="1" t="s">
        <v>426</v>
      </c>
      <c r="E714" s="1" t="s">
        <v>427</v>
      </c>
    </row>
    <row r="715" spans="1:5" x14ac:dyDescent="0.25">
      <c r="A715">
        <v>967</v>
      </c>
      <c r="B715" s="1" t="s">
        <v>407</v>
      </c>
      <c r="C715" s="1" t="s">
        <v>408</v>
      </c>
      <c r="D715" s="1" t="s">
        <v>426</v>
      </c>
      <c r="E715" s="1" t="s">
        <v>427</v>
      </c>
    </row>
    <row r="716" spans="1:5" x14ac:dyDescent="0.25">
      <c r="A716">
        <v>968</v>
      </c>
      <c r="B716" s="1" t="s">
        <v>308</v>
      </c>
      <c r="C716" s="1" t="s">
        <v>309</v>
      </c>
      <c r="D716" s="1" t="s">
        <v>426</v>
      </c>
      <c r="E716" s="1" t="s">
        <v>427</v>
      </c>
    </row>
    <row r="717" spans="1:5" x14ac:dyDescent="0.25">
      <c r="A717">
        <v>972</v>
      </c>
      <c r="B717" s="1" t="s">
        <v>232</v>
      </c>
      <c r="C717" s="1" t="s">
        <v>233</v>
      </c>
      <c r="D717" s="1" t="s">
        <v>426</v>
      </c>
      <c r="E717" s="1" t="s">
        <v>427</v>
      </c>
    </row>
    <row r="718" spans="1:5" x14ac:dyDescent="0.25">
      <c r="A718">
        <v>976</v>
      </c>
      <c r="B718" s="1" t="s">
        <v>378</v>
      </c>
      <c r="C718" s="1" t="s">
        <v>379</v>
      </c>
      <c r="D718" s="1" t="s">
        <v>426</v>
      </c>
      <c r="E718" s="1" t="s">
        <v>427</v>
      </c>
    </row>
    <row r="719" spans="1:5" x14ac:dyDescent="0.25">
      <c r="A719">
        <v>977</v>
      </c>
      <c r="B719" s="1" t="s">
        <v>370</v>
      </c>
      <c r="C719" s="1" t="s">
        <v>371</v>
      </c>
      <c r="D719" s="1" t="s">
        <v>426</v>
      </c>
      <c r="E719" s="1" t="s">
        <v>427</v>
      </c>
    </row>
    <row r="720" spans="1:5" x14ac:dyDescent="0.25">
      <c r="A720">
        <v>978</v>
      </c>
      <c r="B720" s="1" t="s">
        <v>380</v>
      </c>
      <c r="C720" s="1" t="s">
        <v>381</v>
      </c>
      <c r="D720" s="1" t="s">
        <v>426</v>
      </c>
      <c r="E720" s="1" t="s">
        <v>427</v>
      </c>
    </row>
    <row r="721" spans="1:5" x14ac:dyDescent="0.25">
      <c r="A721">
        <v>983</v>
      </c>
      <c r="B721" s="1" t="s">
        <v>332</v>
      </c>
      <c r="C721" s="1" t="s">
        <v>333</v>
      </c>
      <c r="D721" s="1" t="s">
        <v>426</v>
      </c>
      <c r="E721" s="1" t="s">
        <v>427</v>
      </c>
    </row>
    <row r="722" spans="1:5" x14ac:dyDescent="0.25">
      <c r="A722">
        <v>991</v>
      </c>
      <c r="B722" s="1" t="s">
        <v>254</v>
      </c>
      <c r="C722" s="1" t="s">
        <v>255</v>
      </c>
      <c r="D722" s="1" t="s">
        <v>426</v>
      </c>
      <c r="E722" s="1" t="s">
        <v>427</v>
      </c>
    </row>
    <row r="723" spans="1:5" x14ac:dyDescent="0.25">
      <c r="A723">
        <v>996</v>
      </c>
      <c r="B723" s="1" t="s">
        <v>399</v>
      </c>
      <c r="C723" s="1" t="s">
        <v>400</v>
      </c>
      <c r="D723" s="1" t="s">
        <v>426</v>
      </c>
      <c r="E723" s="1" t="s">
        <v>427</v>
      </c>
    </row>
    <row r="724" spans="1:5" x14ac:dyDescent="0.25">
      <c r="A724">
        <v>2</v>
      </c>
      <c r="B724" s="1" t="s">
        <v>236</v>
      </c>
      <c r="C724" s="1" t="s">
        <v>237</v>
      </c>
      <c r="D724" s="1" t="s">
        <v>426</v>
      </c>
      <c r="E724" s="1" t="s">
        <v>428</v>
      </c>
    </row>
    <row r="725" spans="1:5" x14ac:dyDescent="0.25">
      <c r="A725">
        <v>9</v>
      </c>
      <c r="B725" s="1" t="s">
        <v>356</v>
      </c>
      <c r="C725" s="1" t="s">
        <v>357</v>
      </c>
      <c r="D725" s="1" t="s">
        <v>426</v>
      </c>
      <c r="E725" s="1" t="s">
        <v>428</v>
      </c>
    </row>
    <row r="726" spans="1:5" x14ac:dyDescent="0.25">
      <c r="A726">
        <v>14</v>
      </c>
      <c r="B726" s="1" t="s">
        <v>234</v>
      </c>
      <c r="C726" s="1" t="s">
        <v>235</v>
      </c>
      <c r="D726" s="1" t="s">
        <v>426</v>
      </c>
      <c r="E726" s="1" t="s">
        <v>428</v>
      </c>
    </row>
    <row r="727" spans="1:5" x14ac:dyDescent="0.25">
      <c r="A727">
        <v>21</v>
      </c>
      <c r="B727" s="1" t="s">
        <v>286</v>
      </c>
      <c r="C727" s="1" t="s">
        <v>287</v>
      </c>
      <c r="D727" s="1" t="s">
        <v>426</v>
      </c>
      <c r="E727" s="1" t="s">
        <v>428</v>
      </c>
    </row>
    <row r="728" spans="1:5" x14ac:dyDescent="0.25">
      <c r="A728">
        <v>48</v>
      </c>
      <c r="B728" s="1" t="s">
        <v>389</v>
      </c>
      <c r="C728" s="1" t="s">
        <v>390</v>
      </c>
      <c r="D728" s="1" t="s">
        <v>426</v>
      </c>
      <c r="E728" s="1" t="s">
        <v>428</v>
      </c>
    </row>
    <row r="729" spans="1:5" x14ac:dyDescent="0.25">
      <c r="A729">
        <v>50</v>
      </c>
      <c r="B729" s="1" t="s">
        <v>401</v>
      </c>
      <c r="C729" s="1" t="s">
        <v>402</v>
      </c>
      <c r="D729" s="1" t="s">
        <v>426</v>
      </c>
      <c r="E729" s="1" t="s">
        <v>428</v>
      </c>
    </row>
    <row r="730" spans="1:5" x14ac:dyDescent="0.25">
      <c r="A730">
        <v>52</v>
      </c>
      <c r="B730" s="1" t="s">
        <v>234</v>
      </c>
      <c r="C730" s="1" t="s">
        <v>235</v>
      </c>
      <c r="D730" s="1" t="s">
        <v>426</v>
      </c>
      <c r="E730" s="1" t="s">
        <v>428</v>
      </c>
    </row>
    <row r="731" spans="1:5" x14ac:dyDescent="0.25">
      <c r="A731">
        <v>58</v>
      </c>
      <c r="B731" s="1" t="s">
        <v>234</v>
      </c>
      <c r="C731" s="1" t="s">
        <v>235</v>
      </c>
      <c r="D731" s="1" t="s">
        <v>426</v>
      </c>
      <c r="E731" s="1" t="s">
        <v>428</v>
      </c>
    </row>
    <row r="732" spans="1:5" x14ac:dyDescent="0.25">
      <c r="A732">
        <v>60</v>
      </c>
      <c r="B732" s="1" t="s">
        <v>376</v>
      </c>
      <c r="C732" s="1" t="s">
        <v>377</v>
      </c>
      <c r="D732" s="1" t="s">
        <v>426</v>
      </c>
      <c r="E732" s="1" t="s">
        <v>428</v>
      </c>
    </row>
    <row r="733" spans="1:5" x14ac:dyDescent="0.25">
      <c r="A733">
        <v>65</v>
      </c>
      <c r="B733" s="1" t="s">
        <v>286</v>
      </c>
      <c r="C733" s="1" t="s">
        <v>287</v>
      </c>
      <c r="D733" s="1" t="s">
        <v>426</v>
      </c>
      <c r="E733" s="1" t="s">
        <v>428</v>
      </c>
    </row>
    <row r="734" spans="1:5" x14ac:dyDescent="0.25">
      <c r="A734">
        <v>72</v>
      </c>
      <c r="B734" s="1" t="s">
        <v>338</v>
      </c>
      <c r="C734" s="1" t="s">
        <v>339</v>
      </c>
      <c r="D734" s="1" t="s">
        <v>426</v>
      </c>
      <c r="E734" s="1" t="s">
        <v>428</v>
      </c>
    </row>
    <row r="735" spans="1:5" x14ac:dyDescent="0.25">
      <c r="A735">
        <v>82</v>
      </c>
      <c r="B735" s="1" t="s">
        <v>284</v>
      </c>
      <c r="C735" s="1" t="s">
        <v>285</v>
      </c>
      <c r="D735" s="1" t="s">
        <v>426</v>
      </c>
      <c r="E735" s="1" t="s">
        <v>428</v>
      </c>
    </row>
    <row r="736" spans="1:5" x14ac:dyDescent="0.25">
      <c r="A736">
        <v>95</v>
      </c>
      <c r="B736" s="1" t="s">
        <v>238</v>
      </c>
      <c r="C736" s="1" t="s">
        <v>239</v>
      </c>
      <c r="D736" s="1" t="s">
        <v>426</v>
      </c>
      <c r="E736" s="1" t="s">
        <v>428</v>
      </c>
    </row>
    <row r="737" spans="1:5" x14ac:dyDescent="0.25">
      <c r="A737">
        <v>104</v>
      </c>
      <c r="B737" s="1" t="s">
        <v>254</v>
      </c>
      <c r="C737" s="1" t="s">
        <v>255</v>
      </c>
      <c r="D737" s="1" t="s">
        <v>426</v>
      </c>
      <c r="E737" s="1" t="s">
        <v>428</v>
      </c>
    </row>
    <row r="738" spans="1:5" x14ac:dyDescent="0.25">
      <c r="A738">
        <v>106</v>
      </c>
      <c r="B738" s="1" t="s">
        <v>409</v>
      </c>
      <c r="C738" s="1" t="s">
        <v>410</v>
      </c>
      <c r="D738" s="1" t="s">
        <v>426</v>
      </c>
      <c r="E738" s="1" t="s">
        <v>428</v>
      </c>
    </row>
    <row r="739" spans="1:5" x14ac:dyDescent="0.25">
      <c r="A739">
        <v>108</v>
      </c>
      <c r="B739" s="1" t="s">
        <v>360</v>
      </c>
      <c r="C739" s="1" t="s">
        <v>361</v>
      </c>
      <c r="D739" s="1" t="s">
        <v>426</v>
      </c>
      <c r="E739" s="1" t="s">
        <v>428</v>
      </c>
    </row>
    <row r="740" spans="1:5" x14ac:dyDescent="0.25">
      <c r="A740">
        <v>122</v>
      </c>
      <c r="B740" s="1" t="s">
        <v>401</v>
      </c>
      <c r="C740" s="1" t="s">
        <v>402</v>
      </c>
      <c r="D740" s="1" t="s">
        <v>426</v>
      </c>
      <c r="E740" s="1" t="s">
        <v>428</v>
      </c>
    </row>
    <row r="741" spans="1:5" x14ac:dyDescent="0.25">
      <c r="A741">
        <v>123</v>
      </c>
      <c r="B741" s="1" t="s">
        <v>280</v>
      </c>
      <c r="C741" s="1" t="s">
        <v>281</v>
      </c>
      <c r="D741" s="1" t="s">
        <v>426</v>
      </c>
      <c r="E741" s="1" t="s">
        <v>428</v>
      </c>
    </row>
    <row r="742" spans="1:5" x14ac:dyDescent="0.25">
      <c r="A742">
        <v>128</v>
      </c>
      <c r="B742" s="1" t="s">
        <v>332</v>
      </c>
      <c r="C742" s="1" t="s">
        <v>333</v>
      </c>
      <c r="D742" s="1" t="s">
        <v>426</v>
      </c>
      <c r="E742" s="1" t="s">
        <v>428</v>
      </c>
    </row>
    <row r="743" spans="1:5" x14ac:dyDescent="0.25">
      <c r="A743">
        <v>141</v>
      </c>
      <c r="B743" s="1" t="s">
        <v>348</v>
      </c>
      <c r="C743" s="1" t="s">
        <v>349</v>
      </c>
      <c r="D743" s="1" t="s">
        <v>426</v>
      </c>
      <c r="E743" s="1" t="s">
        <v>428</v>
      </c>
    </row>
    <row r="744" spans="1:5" x14ac:dyDescent="0.25">
      <c r="A744">
        <v>143</v>
      </c>
      <c r="B744" s="1" t="s">
        <v>374</v>
      </c>
      <c r="C744" s="1" t="s">
        <v>375</v>
      </c>
      <c r="D744" s="1" t="s">
        <v>426</v>
      </c>
      <c r="E744" s="1" t="s">
        <v>428</v>
      </c>
    </row>
    <row r="745" spans="1:5" x14ac:dyDescent="0.25">
      <c r="A745">
        <v>148</v>
      </c>
      <c r="B745" s="1" t="s">
        <v>290</v>
      </c>
      <c r="C745" s="1" t="s">
        <v>291</v>
      </c>
      <c r="D745" s="1" t="s">
        <v>426</v>
      </c>
      <c r="E745" s="1" t="s">
        <v>428</v>
      </c>
    </row>
    <row r="746" spans="1:5" x14ac:dyDescent="0.25">
      <c r="A746">
        <v>154</v>
      </c>
      <c r="B746" s="1" t="s">
        <v>244</v>
      </c>
      <c r="C746" s="1" t="s">
        <v>245</v>
      </c>
      <c r="D746" s="1" t="s">
        <v>426</v>
      </c>
      <c r="E746" s="1" t="s">
        <v>428</v>
      </c>
    </row>
    <row r="747" spans="1:5" x14ac:dyDescent="0.25">
      <c r="A747">
        <v>164</v>
      </c>
      <c r="B747" s="1" t="s">
        <v>304</v>
      </c>
      <c r="C747" s="1" t="s">
        <v>305</v>
      </c>
      <c r="D747" s="1" t="s">
        <v>426</v>
      </c>
      <c r="E747" s="1" t="s">
        <v>428</v>
      </c>
    </row>
    <row r="748" spans="1:5" x14ac:dyDescent="0.25">
      <c r="A748">
        <v>165</v>
      </c>
      <c r="B748" s="1" t="s">
        <v>403</v>
      </c>
      <c r="C748" s="1" t="s">
        <v>404</v>
      </c>
      <c r="D748" s="1" t="s">
        <v>426</v>
      </c>
      <c r="E748" s="1" t="s">
        <v>428</v>
      </c>
    </row>
    <row r="749" spans="1:5" x14ac:dyDescent="0.25">
      <c r="A749">
        <v>166</v>
      </c>
      <c r="B749" s="1" t="s">
        <v>250</v>
      </c>
      <c r="C749" s="1" t="s">
        <v>251</v>
      </c>
      <c r="D749" s="1" t="s">
        <v>426</v>
      </c>
      <c r="E749" s="1" t="s">
        <v>428</v>
      </c>
    </row>
    <row r="750" spans="1:5" x14ac:dyDescent="0.25">
      <c r="A750">
        <v>167</v>
      </c>
      <c r="B750" s="1" t="s">
        <v>385</v>
      </c>
      <c r="C750" s="1" t="s">
        <v>386</v>
      </c>
      <c r="D750" s="1" t="s">
        <v>426</v>
      </c>
      <c r="E750" s="1" t="s">
        <v>428</v>
      </c>
    </row>
    <row r="751" spans="1:5" x14ac:dyDescent="0.25">
      <c r="A751">
        <v>170</v>
      </c>
      <c r="B751" s="1" t="s">
        <v>322</v>
      </c>
      <c r="C751" s="1" t="s">
        <v>323</v>
      </c>
      <c r="D751" s="1" t="s">
        <v>426</v>
      </c>
      <c r="E751" s="1" t="s">
        <v>428</v>
      </c>
    </row>
    <row r="752" spans="1:5" x14ac:dyDescent="0.25">
      <c r="A752">
        <v>176</v>
      </c>
      <c r="B752" s="1" t="s">
        <v>260</v>
      </c>
      <c r="C752" s="1" t="s">
        <v>261</v>
      </c>
      <c r="D752" s="1" t="s">
        <v>426</v>
      </c>
      <c r="E752" s="1" t="s">
        <v>428</v>
      </c>
    </row>
    <row r="753" spans="1:5" x14ac:dyDescent="0.25">
      <c r="A753">
        <v>179</v>
      </c>
      <c r="B753" s="1" t="s">
        <v>424</v>
      </c>
      <c r="C753" s="1" t="s">
        <v>425</v>
      </c>
      <c r="D753" s="1" t="s">
        <v>426</v>
      </c>
      <c r="E753" s="1" t="s">
        <v>428</v>
      </c>
    </row>
    <row r="754" spans="1:5" x14ac:dyDescent="0.25">
      <c r="A754">
        <v>196</v>
      </c>
      <c r="B754" s="1" t="s">
        <v>236</v>
      </c>
      <c r="C754" s="1" t="s">
        <v>237</v>
      </c>
      <c r="D754" s="1" t="s">
        <v>426</v>
      </c>
      <c r="E754" s="1" t="s">
        <v>428</v>
      </c>
    </row>
    <row r="755" spans="1:5" x14ac:dyDescent="0.25">
      <c r="A755">
        <v>199</v>
      </c>
      <c r="B755" s="1" t="s">
        <v>324</v>
      </c>
      <c r="C755" s="1" t="s">
        <v>325</v>
      </c>
      <c r="D755" s="1" t="s">
        <v>426</v>
      </c>
      <c r="E755" s="1" t="s">
        <v>428</v>
      </c>
    </row>
    <row r="756" spans="1:5" x14ac:dyDescent="0.25">
      <c r="A756">
        <v>206</v>
      </c>
      <c r="B756" s="1" t="s">
        <v>320</v>
      </c>
      <c r="C756" s="1" t="s">
        <v>321</v>
      </c>
      <c r="D756" s="1" t="s">
        <v>426</v>
      </c>
      <c r="E756" s="1" t="s">
        <v>428</v>
      </c>
    </row>
    <row r="757" spans="1:5" x14ac:dyDescent="0.25">
      <c r="A757">
        <v>211</v>
      </c>
      <c r="B757" s="1" t="s">
        <v>348</v>
      </c>
      <c r="C757" s="1" t="s">
        <v>349</v>
      </c>
      <c r="D757" s="1" t="s">
        <v>426</v>
      </c>
      <c r="E757" s="1" t="s">
        <v>428</v>
      </c>
    </row>
    <row r="758" spans="1:5" x14ac:dyDescent="0.25">
      <c r="A758">
        <v>224</v>
      </c>
      <c r="B758" s="1" t="s">
        <v>360</v>
      </c>
      <c r="C758" s="1" t="s">
        <v>361</v>
      </c>
      <c r="D758" s="1" t="s">
        <v>426</v>
      </c>
      <c r="E758" s="1" t="s">
        <v>428</v>
      </c>
    </row>
    <row r="759" spans="1:5" x14ac:dyDescent="0.25">
      <c r="A759">
        <v>226</v>
      </c>
      <c r="B759" s="1" t="s">
        <v>399</v>
      </c>
      <c r="C759" s="1" t="s">
        <v>400</v>
      </c>
      <c r="D759" s="1" t="s">
        <v>426</v>
      </c>
      <c r="E759" s="1" t="s">
        <v>428</v>
      </c>
    </row>
    <row r="760" spans="1:5" x14ac:dyDescent="0.25">
      <c r="A760">
        <v>240</v>
      </c>
      <c r="B760" s="1" t="s">
        <v>262</v>
      </c>
      <c r="C760" s="1" t="s">
        <v>263</v>
      </c>
      <c r="D760" s="1" t="s">
        <v>426</v>
      </c>
      <c r="E760" s="1" t="s">
        <v>428</v>
      </c>
    </row>
    <row r="761" spans="1:5" x14ac:dyDescent="0.25">
      <c r="A761">
        <v>252</v>
      </c>
      <c r="B761" s="1" t="s">
        <v>312</v>
      </c>
      <c r="C761" s="1" t="s">
        <v>313</v>
      </c>
      <c r="D761" s="1" t="s">
        <v>426</v>
      </c>
      <c r="E761" s="1" t="s">
        <v>428</v>
      </c>
    </row>
    <row r="762" spans="1:5" x14ac:dyDescent="0.25">
      <c r="A762">
        <v>261</v>
      </c>
      <c r="B762" s="1" t="s">
        <v>382</v>
      </c>
      <c r="C762" s="1" t="s">
        <v>383</v>
      </c>
      <c r="D762" s="1" t="s">
        <v>426</v>
      </c>
      <c r="E762" s="1" t="s">
        <v>428</v>
      </c>
    </row>
    <row r="763" spans="1:5" x14ac:dyDescent="0.25">
      <c r="A763">
        <v>263</v>
      </c>
      <c r="B763" s="1" t="s">
        <v>274</v>
      </c>
      <c r="C763" s="1" t="s">
        <v>275</v>
      </c>
      <c r="D763" s="1" t="s">
        <v>426</v>
      </c>
      <c r="E763" s="1" t="s">
        <v>428</v>
      </c>
    </row>
    <row r="764" spans="1:5" x14ac:dyDescent="0.25">
      <c r="A764">
        <v>266</v>
      </c>
      <c r="B764" s="1" t="s">
        <v>346</v>
      </c>
      <c r="C764" s="1" t="s">
        <v>347</v>
      </c>
      <c r="D764" s="1" t="s">
        <v>426</v>
      </c>
      <c r="E764" s="1" t="s">
        <v>428</v>
      </c>
    </row>
    <row r="765" spans="1:5" x14ac:dyDescent="0.25">
      <c r="A765">
        <v>276</v>
      </c>
      <c r="B765" s="1" t="s">
        <v>424</v>
      </c>
      <c r="C765" s="1" t="s">
        <v>425</v>
      </c>
      <c r="D765" s="1" t="s">
        <v>426</v>
      </c>
      <c r="E765" s="1" t="s">
        <v>428</v>
      </c>
    </row>
    <row r="766" spans="1:5" x14ac:dyDescent="0.25">
      <c r="A766">
        <v>277</v>
      </c>
      <c r="B766" s="1" t="s">
        <v>306</v>
      </c>
      <c r="C766" s="1" t="s">
        <v>307</v>
      </c>
      <c r="D766" s="1" t="s">
        <v>426</v>
      </c>
      <c r="E766" s="1" t="s">
        <v>428</v>
      </c>
    </row>
    <row r="767" spans="1:5" x14ac:dyDescent="0.25">
      <c r="A767">
        <v>280</v>
      </c>
      <c r="B767" s="1" t="s">
        <v>405</v>
      </c>
      <c r="C767" s="1" t="s">
        <v>406</v>
      </c>
      <c r="D767" s="1" t="s">
        <v>426</v>
      </c>
      <c r="E767" s="1" t="s">
        <v>428</v>
      </c>
    </row>
    <row r="768" spans="1:5" x14ac:dyDescent="0.25">
      <c r="A768">
        <v>283</v>
      </c>
      <c r="B768" s="1" t="s">
        <v>256</v>
      </c>
      <c r="C768" s="1" t="s">
        <v>257</v>
      </c>
      <c r="D768" s="1" t="s">
        <v>426</v>
      </c>
      <c r="E768" s="1" t="s">
        <v>428</v>
      </c>
    </row>
    <row r="769" spans="1:5" x14ac:dyDescent="0.25">
      <c r="A769">
        <v>289</v>
      </c>
      <c r="B769" s="1" t="s">
        <v>246</v>
      </c>
      <c r="C769" s="1" t="s">
        <v>247</v>
      </c>
      <c r="D769" s="1" t="s">
        <v>426</v>
      </c>
      <c r="E769" s="1" t="s">
        <v>428</v>
      </c>
    </row>
    <row r="770" spans="1:5" x14ac:dyDescent="0.25">
      <c r="A770">
        <v>303</v>
      </c>
      <c r="B770" s="1" t="s">
        <v>399</v>
      </c>
      <c r="C770" s="1" t="s">
        <v>400</v>
      </c>
      <c r="D770" s="1" t="s">
        <v>426</v>
      </c>
      <c r="E770" s="1" t="s">
        <v>428</v>
      </c>
    </row>
    <row r="771" spans="1:5" x14ac:dyDescent="0.25">
      <c r="A771">
        <v>305</v>
      </c>
      <c r="B771" s="1" t="s">
        <v>378</v>
      </c>
      <c r="C771" s="1" t="s">
        <v>379</v>
      </c>
      <c r="D771" s="1" t="s">
        <v>426</v>
      </c>
      <c r="E771" s="1" t="s">
        <v>428</v>
      </c>
    </row>
    <row r="772" spans="1:5" x14ac:dyDescent="0.25">
      <c r="A772">
        <v>306</v>
      </c>
      <c r="B772" s="1" t="s">
        <v>272</v>
      </c>
      <c r="C772" s="1" t="s">
        <v>273</v>
      </c>
      <c r="D772" s="1" t="s">
        <v>426</v>
      </c>
      <c r="E772" s="1" t="s">
        <v>428</v>
      </c>
    </row>
    <row r="773" spans="1:5" x14ac:dyDescent="0.25">
      <c r="A773">
        <v>309</v>
      </c>
      <c r="B773" s="1" t="s">
        <v>246</v>
      </c>
      <c r="C773" s="1" t="s">
        <v>247</v>
      </c>
      <c r="D773" s="1" t="s">
        <v>426</v>
      </c>
      <c r="E773" s="1" t="s">
        <v>428</v>
      </c>
    </row>
    <row r="774" spans="1:5" x14ac:dyDescent="0.25">
      <c r="A774">
        <v>313</v>
      </c>
      <c r="B774" s="1" t="s">
        <v>296</v>
      </c>
      <c r="C774" s="1" t="s">
        <v>297</v>
      </c>
      <c r="D774" s="1" t="s">
        <v>426</v>
      </c>
      <c r="E774" s="1" t="s">
        <v>428</v>
      </c>
    </row>
    <row r="775" spans="1:5" x14ac:dyDescent="0.25">
      <c r="A775">
        <v>321</v>
      </c>
      <c r="B775" s="1" t="s">
        <v>284</v>
      </c>
      <c r="C775" s="1" t="s">
        <v>285</v>
      </c>
      <c r="D775" s="1" t="s">
        <v>426</v>
      </c>
      <c r="E775" s="1" t="s">
        <v>428</v>
      </c>
    </row>
    <row r="776" spans="1:5" x14ac:dyDescent="0.25">
      <c r="A776">
        <v>327</v>
      </c>
      <c r="B776" s="1" t="s">
        <v>403</v>
      </c>
      <c r="C776" s="1" t="s">
        <v>404</v>
      </c>
      <c r="D776" s="1" t="s">
        <v>426</v>
      </c>
      <c r="E776" s="1" t="s">
        <v>428</v>
      </c>
    </row>
    <row r="777" spans="1:5" x14ac:dyDescent="0.25">
      <c r="A777">
        <v>330</v>
      </c>
      <c r="B777" s="1" t="s">
        <v>405</v>
      </c>
      <c r="C777" s="1" t="s">
        <v>406</v>
      </c>
      <c r="D777" s="1" t="s">
        <v>426</v>
      </c>
      <c r="E777" s="1" t="s">
        <v>428</v>
      </c>
    </row>
    <row r="778" spans="1:5" x14ac:dyDescent="0.25">
      <c r="A778">
        <v>338</v>
      </c>
      <c r="B778" s="1" t="s">
        <v>366</v>
      </c>
      <c r="C778" s="1" t="s">
        <v>367</v>
      </c>
      <c r="D778" s="1" t="s">
        <v>426</v>
      </c>
      <c r="E778" s="1" t="s">
        <v>428</v>
      </c>
    </row>
    <row r="779" spans="1:5" x14ac:dyDescent="0.25">
      <c r="A779">
        <v>342</v>
      </c>
      <c r="B779" s="1" t="s">
        <v>314</v>
      </c>
      <c r="C779" s="1" t="s">
        <v>315</v>
      </c>
      <c r="D779" s="1" t="s">
        <v>426</v>
      </c>
      <c r="E779" s="1" t="s">
        <v>428</v>
      </c>
    </row>
    <row r="780" spans="1:5" x14ac:dyDescent="0.25">
      <c r="A780">
        <v>343</v>
      </c>
      <c r="B780" s="1" t="s">
        <v>376</v>
      </c>
      <c r="C780" s="1" t="s">
        <v>377</v>
      </c>
      <c r="D780" s="1" t="s">
        <v>426</v>
      </c>
      <c r="E780" s="1" t="s">
        <v>428</v>
      </c>
    </row>
    <row r="781" spans="1:5" x14ac:dyDescent="0.25">
      <c r="A781">
        <v>354</v>
      </c>
      <c r="B781" s="1" t="s">
        <v>391</v>
      </c>
      <c r="C781" s="1" t="s">
        <v>392</v>
      </c>
      <c r="D781" s="1" t="s">
        <v>426</v>
      </c>
      <c r="E781" s="1" t="s">
        <v>428</v>
      </c>
    </row>
    <row r="782" spans="1:5" x14ac:dyDescent="0.25">
      <c r="A782">
        <v>365</v>
      </c>
      <c r="B782" s="1" t="s">
        <v>270</v>
      </c>
      <c r="C782" s="1" t="s">
        <v>271</v>
      </c>
      <c r="D782" s="1" t="s">
        <v>426</v>
      </c>
      <c r="E782" s="1" t="s">
        <v>428</v>
      </c>
    </row>
    <row r="783" spans="1:5" x14ac:dyDescent="0.25">
      <c r="A783">
        <v>373</v>
      </c>
      <c r="B783" s="1" t="s">
        <v>302</v>
      </c>
      <c r="C783" s="1" t="s">
        <v>303</v>
      </c>
      <c r="D783" s="1" t="s">
        <v>426</v>
      </c>
      <c r="E783" s="1" t="s">
        <v>428</v>
      </c>
    </row>
    <row r="784" spans="1:5" x14ac:dyDescent="0.25">
      <c r="A784">
        <v>377</v>
      </c>
      <c r="B784" s="1" t="s">
        <v>250</v>
      </c>
      <c r="C784" s="1" t="s">
        <v>251</v>
      </c>
      <c r="D784" s="1" t="s">
        <v>426</v>
      </c>
      <c r="E784" s="1" t="s">
        <v>428</v>
      </c>
    </row>
    <row r="785" spans="1:5" x14ac:dyDescent="0.25">
      <c r="A785">
        <v>388</v>
      </c>
      <c r="B785" s="1" t="s">
        <v>360</v>
      </c>
      <c r="C785" s="1" t="s">
        <v>361</v>
      </c>
      <c r="D785" s="1" t="s">
        <v>426</v>
      </c>
      <c r="E785" s="1" t="s">
        <v>428</v>
      </c>
    </row>
    <row r="786" spans="1:5" x14ac:dyDescent="0.25">
      <c r="A786">
        <v>389</v>
      </c>
      <c r="B786" s="1" t="s">
        <v>354</v>
      </c>
      <c r="C786" s="1" t="s">
        <v>355</v>
      </c>
      <c r="D786" s="1" t="s">
        <v>426</v>
      </c>
      <c r="E786" s="1" t="s">
        <v>428</v>
      </c>
    </row>
    <row r="787" spans="1:5" x14ac:dyDescent="0.25">
      <c r="A787">
        <v>396</v>
      </c>
      <c r="B787" s="1" t="s">
        <v>364</v>
      </c>
      <c r="C787" s="1" t="s">
        <v>365</v>
      </c>
      <c r="D787" s="1" t="s">
        <v>426</v>
      </c>
      <c r="E787" s="1" t="s">
        <v>428</v>
      </c>
    </row>
    <row r="788" spans="1:5" x14ac:dyDescent="0.25">
      <c r="A788">
        <v>405</v>
      </c>
      <c r="B788" s="1" t="s">
        <v>344</v>
      </c>
      <c r="C788" s="1" t="s">
        <v>345</v>
      </c>
      <c r="D788" s="1" t="s">
        <v>426</v>
      </c>
      <c r="E788" s="1" t="s">
        <v>428</v>
      </c>
    </row>
    <row r="789" spans="1:5" x14ac:dyDescent="0.25">
      <c r="A789">
        <v>423</v>
      </c>
      <c r="B789" s="1" t="s">
        <v>401</v>
      </c>
      <c r="C789" s="1" t="s">
        <v>402</v>
      </c>
      <c r="D789" s="1" t="s">
        <v>426</v>
      </c>
      <c r="E789" s="1" t="s">
        <v>428</v>
      </c>
    </row>
    <row r="790" spans="1:5" x14ac:dyDescent="0.25">
      <c r="A790">
        <v>425</v>
      </c>
      <c r="B790" s="1" t="s">
        <v>234</v>
      </c>
      <c r="C790" s="1" t="s">
        <v>235</v>
      </c>
      <c r="D790" s="1" t="s">
        <v>426</v>
      </c>
      <c r="E790" s="1" t="s">
        <v>428</v>
      </c>
    </row>
    <row r="791" spans="1:5" x14ac:dyDescent="0.25">
      <c r="A791">
        <v>433</v>
      </c>
      <c r="B791" s="1" t="s">
        <v>403</v>
      </c>
      <c r="C791" s="1" t="s">
        <v>404</v>
      </c>
      <c r="D791" s="1" t="s">
        <v>426</v>
      </c>
      <c r="E791" s="1" t="s">
        <v>428</v>
      </c>
    </row>
    <row r="792" spans="1:5" x14ac:dyDescent="0.25">
      <c r="A792">
        <v>438</v>
      </c>
      <c r="B792" s="1" t="s">
        <v>236</v>
      </c>
      <c r="C792" s="1" t="s">
        <v>237</v>
      </c>
      <c r="D792" s="1" t="s">
        <v>426</v>
      </c>
      <c r="E792" s="1" t="s">
        <v>428</v>
      </c>
    </row>
    <row r="793" spans="1:5" x14ac:dyDescent="0.25">
      <c r="A793">
        <v>440</v>
      </c>
      <c r="B793" s="1" t="s">
        <v>348</v>
      </c>
      <c r="C793" s="1" t="s">
        <v>349</v>
      </c>
      <c r="D793" s="1" t="s">
        <v>426</v>
      </c>
      <c r="E793" s="1" t="s">
        <v>428</v>
      </c>
    </row>
    <row r="794" spans="1:5" x14ac:dyDescent="0.25">
      <c r="A794">
        <v>445</v>
      </c>
      <c r="B794" s="1" t="s">
        <v>409</v>
      </c>
      <c r="C794" s="1" t="s">
        <v>410</v>
      </c>
      <c r="D794" s="1" t="s">
        <v>426</v>
      </c>
      <c r="E794" s="1" t="s">
        <v>428</v>
      </c>
    </row>
    <row r="795" spans="1:5" x14ac:dyDescent="0.25">
      <c r="A795">
        <v>452</v>
      </c>
      <c r="B795" s="1" t="s">
        <v>399</v>
      </c>
      <c r="C795" s="1" t="s">
        <v>400</v>
      </c>
      <c r="D795" s="1" t="s">
        <v>426</v>
      </c>
      <c r="E795" s="1" t="s">
        <v>428</v>
      </c>
    </row>
    <row r="796" spans="1:5" x14ac:dyDescent="0.25">
      <c r="A796">
        <v>458</v>
      </c>
      <c r="B796" s="1" t="s">
        <v>230</v>
      </c>
      <c r="C796" s="1" t="s">
        <v>231</v>
      </c>
      <c r="D796" s="1" t="s">
        <v>426</v>
      </c>
      <c r="E796" s="1" t="s">
        <v>428</v>
      </c>
    </row>
    <row r="797" spans="1:5" x14ac:dyDescent="0.25">
      <c r="A797">
        <v>470</v>
      </c>
      <c r="B797" s="1" t="s">
        <v>320</v>
      </c>
      <c r="C797" s="1" t="s">
        <v>321</v>
      </c>
      <c r="D797" s="1" t="s">
        <v>426</v>
      </c>
      <c r="E797" s="1" t="s">
        <v>428</v>
      </c>
    </row>
    <row r="798" spans="1:5" x14ac:dyDescent="0.25">
      <c r="A798">
        <v>505</v>
      </c>
      <c r="B798" s="1" t="s">
        <v>395</v>
      </c>
      <c r="C798" s="1" t="s">
        <v>396</v>
      </c>
      <c r="D798" s="1" t="s">
        <v>426</v>
      </c>
      <c r="E798" s="1" t="s">
        <v>428</v>
      </c>
    </row>
    <row r="799" spans="1:5" x14ac:dyDescent="0.25">
      <c r="A799">
        <v>510</v>
      </c>
      <c r="B799" s="1" t="s">
        <v>368</v>
      </c>
      <c r="C799" s="1" t="s">
        <v>369</v>
      </c>
      <c r="D799" s="1" t="s">
        <v>426</v>
      </c>
      <c r="E799" s="1" t="s">
        <v>428</v>
      </c>
    </row>
    <row r="800" spans="1:5" x14ac:dyDescent="0.25">
      <c r="A800">
        <v>511</v>
      </c>
      <c r="B800" s="1" t="s">
        <v>238</v>
      </c>
      <c r="C800" s="1" t="s">
        <v>239</v>
      </c>
      <c r="D800" s="1" t="s">
        <v>426</v>
      </c>
      <c r="E800" s="1" t="s">
        <v>428</v>
      </c>
    </row>
    <row r="801" spans="1:5" x14ac:dyDescent="0.25">
      <c r="A801">
        <v>524</v>
      </c>
      <c r="B801" s="1" t="s">
        <v>274</v>
      </c>
      <c r="C801" s="1" t="s">
        <v>275</v>
      </c>
      <c r="D801" s="1" t="s">
        <v>426</v>
      </c>
      <c r="E801" s="1" t="s">
        <v>428</v>
      </c>
    </row>
    <row r="802" spans="1:5" x14ac:dyDescent="0.25">
      <c r="A802">
        <v>527</v>
      </c>
      <c r="B802" s="1" t="s">
        <v>266</v>
      </c>
      <c r="C802" s="1" t="s">
        <v>267</v>
      </c>
      <c r="D802" s="1" t="s">
        <v>426</v>
      </c>
      <c r="E802" s="1" t="s">
        <v>428</v>
      </c>
    </row>
    <row r="803" spans="1:5" x14ac:dyDescent="0.25">
      <c r="A803">
        <v>540</v>
      </c>
      <c r="B803" s="1" t="s">
        <v>292</v>
      </c>
      <c r="C803" s="1" t="s">
        <v>293</v>
      </c>
      <c r="D803" s="1" t="s">
        <v>426</v>
      </c>
      <c r="E803" s="1" t="s">
        <v>428</v>
      </c>
    </row>
    <row r="804" spans="1:5" x14ac:dyDescent="0.25">
      <c r="A804">
        <v>543</v>
      </c>
      <c r="B804" s="1" t="s">
        <v>350</v>
      </c>
      <c r="C804" s="1" t="s">
        <v>351</v>
      </c>
      <c r="D804" s="1" t="s">
        <v>426</v>
      </c>
      <c r="E804" s="1" t="s">
        <v>428</v>
      </c>
    </row>
    <row r="805" spans="1:5" x14ac:dyDescent="0.25">
      <c r="A805">
        <v>545</v>
      </c>
      <c r="B805" s="1" t="s">
        <v>328</v>
      </c>
      <c r="C805" s="1" t="s">
        <v>329</v>
      </c>
      <c r="D805" s="1" t="s">
        <v>426</v>
      </c>
      <c r="E805" s="1" t="s">
        <v>428</v>
      </c>
    </row>
    <row r="806" spans="1:5" x14ac:dyDescent="0.25">
      <c r="A806">
        <v>548</v>
      </c>
      <c r="B806" s="1" t="s">
        <v>308</v>
      </c>
      <c r="C806" s="1" t="s">
        <v>309</v>
      </c>
      <c r="D806" s="1" t="s">
        <v>426</v>
      </c>
      <c r="E806" s="1" t="s">
        <v>428</v>
      </c>
    </row>
    <row r="807" spans="1:5" x14ac:dyDescent="0.25">
      <c r="A807">
        <v>565</v>
      </c>
      <c r="B807" s="1" t="s">
        <v>220</v>
      </c>
      <c r="C807" s="1" t="s">
        <v>221</v>
      </c>
      <c r="D807" s="1" t="s">
        <v>426</v>
      </c>
      <c r="E807" s="1" t="s">
        <v>428</v>
      </c>
    </row>
    <row r="808" spans="1:5" x14ac:dyDescent="0.25">
      <c r="A808">
        <v>573</v>
      </c>
      <c r="B808" s="1" t="s">
        <v>280</v>
      </c>
      <c r="C808" s="1" t="s">
        <v>281</v>
      </c>
      <c r="D808" s="1" t="s">
        <v>426</v>
      </c>
      <c r="E808" s="1" t="s">
        <v>428</v>
      </c>
    </row>
    <row r="809" spans="1:5" x14ac:dyDescent="0.25">
      <c r="A809">
        <v>577</v>
      </c>
      <c r="B809" s="1" t="s">
        <v>342</v>
      </c>
      <c r="C809" s="1" t="s">
        <v>343</v>
      </c>
      <c r="D809" s="1" t="s">
        <v>426</v>
      </c>
      <c r="E809" s="1" t="s">
        <v>428</v>
      </c>
    </row>
    <row r="810" spans="1:5" x14ac:dyDescent="0.25">
      <c r="A810">
        <v>586</v>
      </c>
      <c r="B810" s="1" t="s">
        <v>346</v>
      </c>
      <c r="C810" s="1" t="s">
        <v>347</v>
      </c>
      <c r="D810" s="1" t="s">
        <v>426</v>
      </c>
      <c r="E810" s="1" t="s">
        <v>428</v>
      </c>
    </row>
    <row r="811" spans="1:5" x14ac:dyDescent="0.25">
      <c r="A811">
        <v>598</v>
      </c>
      <c r="B811" s="1" t="s">
        <v>318</v>
      </c>
      <c r="C811" s="1" t="s">
        <v>319</v>
      </c>
      <c r="D811" s="1" t="s">
        <v>426</v>
      </c>
      <c r="E811" s="1" t="s">
        <v>428</v>
      </c>
    </row>
    <row r="812" spans="1:5" x14ac:dyDescent="0.25">
      <c r="A812">
        <v>611</v>
      </c>
      <c r="B812" s="1" t="s">
        <v>362</v>
      </c>
      <c r="C812" s="1" t="s">
        <v>363</v>
      </c>
      <c r="D812" s="1" t="s">
        <v>426</v>
      </c>
      <c r="E812" s="1" t="s">
        <v>428</v>
      </c>
    </row>
    <row r="813" spans="1:5" x14ac:dyDescent="0.25">
      <c r="A813">
        <v>614</v>
      </c>
      <c r="B813" s="1" t="s">
        <v>276</v>
      </c>
      <c r="C813" s="1" t="s">
        <v>277</v>
      </c>
      <c r="D813" s="1" t="s">
        <v>426</v>
      </c>
      <c r="E813" s="1" t="s">
        <v>428</v>
      </c>
    </row>
    <row r="814" spans="1:5" x14ac:dyDescent="0.25">
      <c r="A814">
        <v>620</v>
      </c>
      <c r="B814" s="1" t="s">
        <v>242</v>
      </c>
      <c r="C814" s="1" t="s">
        <v>243</v>
      </c>
      <c r="D814" s="1" t="s">
        <v>426</v>
      </c>
      <c r="E814" s="1" t="s">
        <v>428</v>
      </c>
    </row>
    <row r="815" spans="1:5" x14ac:dyDescent="0.25">
      <c r="A815">
        <v>625</v>
      </c>
      <c r="B815" s="1" t="s">
        <v>376</v>
      </c>
      <c r="C815" s="1" t="s">
        <v>377</v>
      </c>
      <c r="D815" s="1" t="s">
        <v>426</v>
      </c>
      <c r="E815" s="1" t="s">
        <v>428</v>
      </c>
    </row>
    <row r="816" spans="1:5" x14ac:dyDescent="0.25">
      <c r="A816">
        <v>638</v>
      </c>
      <c r="B816" s="1" t="s">
        <v>240</v>
      </c>
      <c r="C816" s="1" t="s">
        <v>241</v>
      </c>
      <c r="D816" s="1" t="s">
        <v>426</v>
      </c>
      <c r="E816" s="1" t="s">
        <v>428</v>
      </c>
    </row>
    <row r="817" spans="1:5" x14ac:dyDescent="0.25">
      <c r="A817">
        <v>647</v>
      </c>
      <c r="B817" s="1" t="s">
        <v>419</v>
      </c>
      <c r="C817" s="1" t="s">
        <v>420</v>
      </c>
      <c r="D817" s="1" t="s">
        <v>426</v>
      </c>
      <c r="E817" s="1" t="s">
        <v>428</v>
      </c>
    </row>
    <row r="818" spans="1:5" x14ac:dyDescent="0.25">
      <c r="A818">
        <v>648</v>
      </c>
      <c r="B818" s="1" t="s">
        <v>389</v>
      </c>
      <c r="C818" s="1" t="s">
        <v>390</v>
      </c>
      <c r="D818" s="1" t="s">
        <v>426</v>
      </c>
      <c r="E818" s="1" t="s">
        <v>428</v>
      </c>
    </row>
    <row r="819" spans="1:5" x14ac:dyDescent="0.25">
      <c r="A819">
        <v>650</v>
      </c>
      <c r="B819" s="1" t="s">
        <v>346</v>
      </c>
      <c r="C819" s="1" t="s">
        <v>347</v>
      </c>
      <c r="D819" s="1" t="s">
        <v>426</v>
      </c>
      <c r="E819" s="1" t="s">
        <v>428</v>
      </c>
    </row>
    <row r="820" spans="1:5" x14ac:dyDescent="0.25">
      <c r="A820">
        <v>658</v>
      </c>
      <c r="B820" s="1" t="s">
        <v>401</v>
      </c>
      <c r="C820" s="1" t="s">
        <v>402</v>
      </c>
      <c r="D820" s="1" t="s">
        <v>426</v>
      </c>
      <c r="E820" s="1" t="s">
        <v>428</v>
      </c>
    </row>
    <row r="821" spans="1:5" x14ac:dyDescent="0.25">
      <c r="A821">
        <v>674</v>
      </c>
      <c r="B821" s="1" t="s">
        <v>385</v>
      </c>
      <c r="C821" s="1" t="s">
        <v>386</v>
      </c>
      <c r="D821" s="1" t="s">
        <v>426</v>
      </c>
      <c r="E821" s="1" t="s">
        <v>428</v>
      </c>
    </row>
    <row r="822" spans="1:5" x14ac:dyDescent="0.25">
      <c r="A822">
        <v>682</v>
      </c>
      <c r="B822" s="1" t="s">
        <v>240</v>
      </c>
      <c r="C822" s="1" t="s">
        <v>241</v>
      </c>
      <c r="D822" s="1" t="s">
        <v>426</v>
      </c>
      <c r="E822" s="1" t="s">
        <v>428</v>
      </c>
    </row>
    <row r="823" spans="1:5" x14ac:dyDescent="0.25">
      <c r="A823">
        <v>684</v>
      </c>
      <c r="B823" s="1" t="s">
        <v>258</v>
      </c>
      <c r="C823" s="1" t="s">
        <v>259</v>
      </c>
      <c r="D823" s="1" t="s">
        <v>426</v>
      </c>
      <c r="E823" s="1" t="s">
        <v>428</v>
      </c>
    </row>
    <row r="824" spans="1:5" x14ac:dyDescent="0.25">
      <c r="A824">
        <v>685</v>
      </c>
      <c r="B824" s="1" t="s">
        <v>296</v>
      </c>
      <c r="C824" s="1" t="s">
        <v>297</v>
      </c>
      <c r="D824" s="1" t="s">
        <v>426</v>
      </c>
      <c r="E824" s="1" t="s">
        <v>428</v>
      </c>
    </row>
    <row r="825" spans="1:5" x14ac:dyDescent="0.25">
      <c r="A825">
        <v>694</v>
      </c>
      <c r="B825" s="1" t="s">
        <v>419</v>
      </c>
      <c r="C825" s="1" t="s">
        <v>420</v>
      </c>
      <c r="D825" s="1" t="s">
        <v>426</v>
      </c>
      <c r="E825" s="1" t="s">
        <v>428</v>
      </c>
    </row>
    <row r="826" spans="1:5" x14ac:dyDescent="0.25">
      <c r="A826">
        <v>702</v>
      </c>
      <c r="B826" s="1" t="s">
        <v>421</v>
      </c>
      <c r="C826" s="1" t="s">
        <v>422</v>
      </c>
      <c r="D826" s="1" t="s">
        <v>426</v>
      </c>
      <c r="E826" s="1" t="s">
        <v>428</v>
      </c>
    </row>
    <row r="827" spans="1:5" x14ac:dyDescent="0.25">
      <c r="A827">
        <v>727</v>
      </c>
      <c r="B827" s="1" t="s">
        <v>324</v>
      </c>
      <c r="C827" s="1" t="s">
        <v>325</v>
      </c>
      <c r="D827" s="1" t="s">
        <v>426</v>
      </c>
      <c r="E827" s="1" t="s">
        <v>428</v>
      </c>
    </row>
    <row r="828" spans="1:5" x14ac:dyDescent="0.25">
      <c r="A828">
        <v>728</v>
      </c>
      <c r="B828" s="1" t="s">
        <v>318</v>
      </c>
      <c r="C828" s="1" t="s">
        <v>319</v>
      </c>
      <c r="D828" s="1" t="s">
        <v>426</v>
      </c>
      <c r="E828" s="1" t="s">
        <v>428</v>
      </c>
    </row>
    <row r="829" spans="1:5" x14ac:dyDescent="0.25">
      <c r="A829">
        <v>734</v>
      </c>
      <c r="B829" s="1" t="s">
        <v>312</v>
      </c>
      <c r="C829" s="1" t="s">
        <v>313</v>
      </c>
      <c r="D829" s="1" t="s">
        <v>426</v>
      </c>
      <c r="E829" s="1" t="s">
        <v>428</v>
      </c>
    </row>
    <row r="830" spans="1:5" x14ac:dyDescent="0.25">
      <c r="A830">
        <v>735</v>
      </c>
      <c r="B830" s="1" t="s">
        <v>292</v>
      </c>
      <c r="C830" s="1" t="s">
        <v>293</v>
      </c>
      <c r="D830" s="1" t="s">
        <v>426</v>
      </c>
      <c r="E830" s="1" t="s">
        <v>428</v>
      </c>
    </row>
    <row r="831" spans="1:5" x14ac:dyDescent="0.25">
      <c r="A831">
        <v>742</v>
      </c>
      <c r="B831" s="1" t="s">
        <v>352</v>
      </c>
      <c r="C831" s="1" t="s">
        <v>353</v>
      </c>
      <c r="D831" s="1" t="s">
        <v>426</v>
      </c>
      <c r="E831" s="1" t="s">
        <v>428</v>
      </c>
    </row>
    <row r="832" spans="1:5" x14ac:dyDescent="0.25">
      <c r="A832">
        <v>755</v>
      </c>
      <c r="B832" s="1" t="s">
        <v>302</v>
      </c>
      <c r="C832" s="1" t="s">
        <v>303</v>
      </c>
      <c r="D832" s="1" t="s">
        <v>426</v>
      </c>
      <c r="E832" s="1" t="s">
        <v>428</v>
      </c>
    </row>
    <row r="833" spans="1:5" x14ac:dyDescent="0.25">
      <c r="A833">
        <v>761</v>
      </c>
      <c r="B833" s="1" t="s">
        <v>370</v>
      </c>
      <c r="C833" s="1" t="s">
        <v>371</v>
      </c>
      <c r="D833" s="1" t="s">
        <v>426</v>
      </c>
      <c r="E833" s="1" t="s">
        <v>428</v>
      </c>
    </row>
    <row r="834" spans="1:5" x14ac:dyDescent="0.25">
      <c r="A834">
        <v>772</v>
      </c>
      <c r="B834" s="1" t="s">
        <v>328</v>
      </c>
      <c r="C834" s="1" t="s">
        <v>329</v>
      </c>
      <c r="D834" s="1" t="s">
        <v>426</v>
      </c>
      <c r="E834" s="1" t="s">
        <v>428</v>
      </c>
    </row>
    <row r="835" spans="1:5" x14ac:dyDescent="0.25">
      <c r="A835">
        <v>787</v>
      </c>
      <c r="B835" s="1" t="s">
        <v>352</v>
      </c>
      <c r="C835" s="1" t="s">
        <v>353</v>
      </c>
      <c r="D835" s="1" t="s">
        <v>426</v>
      </c>
      <c r="E835" s="1" t="s">
        <v>428</v>
      </c>
    </row>
    <row r="836" spans="1:5" x14ac:dyDescent="0.25">
      <c r="A836">
        <v>797</v>
      </c>
      <c r="B836" s="1" t="s">
        <v>324</v>
      </c>
      <c r="C836" s="1" t="s">
        <v>325</v>
      </c>
      <c r="D836" s="1" t="s">
        <v>426</v>
      </c>
      <c r="E836" s="1" t="s">
        <v>428</v>
      </c>
    </row>
    <row r="837" spans="1:5" x14ac:dyDescent="0.25">
      <c r="A837">
        <v>802</v>
      </c>
      <c r="B837" s="1" t="s">
        <v>334</v>
      </c>
      <c r="C837" s="1" t="s">
        <v>335</v>
      </c>
      <c r="D837" s="1" t="s">
        <v>426</v>
      </c>
      <c r="E837" s="1" t="s">
        <v>428</v>
      </c>
    </row>
    <row r="838" spans="1:5" x14ac:dyDescent="0.25">
      <c r="A838">
        <v>803</v>
      </c>
      <c r="B838" s="1" t="s">
        <v>266</v>
      </c>
      <c r="C838" s="1" t="s">
        <v>267</v>
      </c>
      <c r="D838" s="1" t="s">
        <v>426</v>
      </c>
      <c r="E838" s="1" t="s">
        <v>428</v>
      </c>
    </row>
    <row r="839" spans="1:5" x14ac:dyDescent="0.25">
      <c r="A839">
        <v>818</v>
      </c>
      <c r="B839" s="1" t="s">
        <v>226</v>
      </c>
      <c r="C839" s="1" t="s">
        <v>227</v>
      </c>
      <c r="D839" s="1" t="s">
        <v>426</v>
      </c>
      <c r="E839" s="1" t="s">
        <v>428</v>
      </c>
    </row>
    <row r="840" spans="1:5" x14ac:dyDescent="0.25">
      <c r="A840">
        <v>848</v>
      </c>
      <c r="B840" s="1" t="s">
        <v>304</v>
      </c>
      <c r="C840" s="1" t="s">
        <v>305</v>
      </c>
      <c r="D840" s="1" t="s">
        <v>426</v>
      </c>
      <c r="E840" s="1" t="s">
        <v>428</v>
      </c>
    </row>
    <row r="841" spans="1:5" x14ac:dyDescent="0.25">
      <c r="A841">
        <v>858</v>
      </c>
      <c r="B841" s="1" t="s">
        <v>316</v>
      </c>
      <c r="C841" s="1" t="s">
        <v>317</v>
      </c>
      <c r="D841" s="1" t="s">
        <v>426</v>
      </c>
      <c r="E841" s="1" t="s">
        <v>428</v>
      </c>
    </row>
    <row r="842" spans="1:5" x14ac:dyDescent="0.25">
      <c r="A842">
        <v>859</v>
      </c>
      <c r="B842" s="1" t="s">
        <v>288</v>
      </c>
      <c r="C842" s="1" t="s">
        <v>289</v>
      </c>
      <c r="D842" s="1" t="s">
        <v>426</v>
      </c>
      <c r="E842" s="1" t="s">
        <v>428</v>
      </c>
    </row>
    <row r="843" spans="1:5" x14ac:dyDescent="0.25">
      <c r="A843">
        <v>885</v>
      </c>
      <c r="B843" s="1" t="s">
        <v>401</v>
      </c>
      <c r="C843" s="1" t="s">
        <v>402</v>
      </c>
      <c r="D843" s="1" t="s">
        <v>426</v>
      </c>
      <c r="E843" s="1" t="s">
        <v>428</v>
      </c>
    </row>
    <row r="844" spans="1:5" x14ac:dyDescent="0.25">
      <c r="A844">
        <v>890</v>
      </c>
      <c r="B844" s="1" t="s">
        <v>338</v>
      </c>
      <c r="C844" s="1" t="s">
        <v>339</v>
      </c>
      <c r="D844" s="1" t="s">
        <v>426</v>
      </c>
      <c r="E844" s="1" t="s">
        <v>428</v>
      </c>
    </row>
    <row r="845" spans="1:5" x14ac:dyDescent="0.25">
      <c r="A845">
        <v>898</v>
      </c>
      <c r="B845" s="1" t="s">
        <v>348</v>
      </c>
      <c r="C845" s="1" t="s">
        <v>349</v>
      </c>
      <c r="D845" s="1" t="s">
        <v>426</v>
      </c>
      <c r="E845" s="1" t="s">
        <v>428</v>
      </c>
    </row>
    <row r="846" spans="1:5" x14ac:dyDescent="0.25">
      <c r="A846">
        <v>899</v>
      </c>
      <c r="B846" s="1" t="s">
        <v>424</v>
      </c>
      <c r="C846" s="1" t="s">
        <v>425</v>
      </c>
      <c r="D846" s="1" t="s">
        <v>426</v>
      </c>
      <c r="E846" s="1" t="s">
        <v>428</v>
      </c>
    </row>
    <row r="847" spans="1:5" x14ac:dyDescent="0.25">
      <c r="A847">
        <v>911</v>
      </c>
      <c r="B847" s="1" t="s">
        <v>330</v>
      </c>
      <c r="C847" s="1" t="s">
        <v>331</v>
      </c>
      <c r="D847" s="1" t="s">
        <v>426</v>
      </c>
      <c r="E847" s="1" t="s">
        <v>428</v>
      </c>
    </row>
    <row r="848" spans="1:5" x14ac:dyDescent="0.25">
      <c r="A848">
        <v>913</v>
      </c>
      <c r="B848" s="1" t="s">
        <v>350</v>
      </c>
      <c r="C848" s="1" t="s">
        <v>351</v>
      </c>
      <c r="D848" s="1" t="s">
        <v>426</v>
      </c>
      <c r="E848" s="1" t="s">
        <v>428</v>
      </c>
    </row>
    <row r="849" spans="1:5" x14ac:dyDescent="0.25">
      <c r="A849">
        <v>923</v>
      </c>
      <c r="B849" s="1" t="s">
        <v>393</v>
      </c>
      <c r="C849" s="1" t="s">
        <v>394</v>
      </c>
      <c r="D849" s="1" t="s">
        <v>426</v>
      </c>
      <c r="E849" s="1" t="s">
        <v>428</v>
      </c>
    </row>
    <row r="850" spans="1:5" x14ac:dyDescent="0.25">
      <c r="A850">
        <v>930</v>
      </c>
      <c r="B850" s="1" t="s">
        <v>228</v>
      </c>
      <c r="C850" s="1" t="s">
        <v>229</v>
      </c>
      <c r="D850" s="1" t="s">
        <v>426</v>
      </c>
      <c r="E850" s="1" t="s">
        <v>428</v>
      </c>
    </row>
    <row r="851" spans="1:5" x14ac:dyDescent="0.25">
      <c r="A851">
        <v>947</v>
      </c>
      <c r="B851" s="1" t="s">
        <v>356</v>
      </c>
      <c r="C851" s="1" t="s">
        <v>357</v>
      </c>
      <c r="D851" s="1" t="s">
        <v>426</v>
      </c>
      <c r="E851" s="1" t="s">
        <v>428</v>
      </c>
    </row>
    <row r="852" spans="1:5" x14ac:dyDescent="0.25">
      <c r="A852">
        <v>949</v>
      </c>
      <c r="B852" s="1" t="s">
        <v>324</v>
      </c>
      <c r="C852" s="1" t="s">
        <v>325</v>
      </c>
      <c r="D852" s="1" t="s">
        <v>426</v>
      </c>
      <c r="E852" s="1" t="s">
        <v>428</v>
      </c>
    </row>
    <row r="853" spans="1:5" x14ac:dyDescent="0.25">
      <c r="A853">
        <v>958</v>
      </c>
      <c r="B853" s="1" t="s">
        <v>330</v>
      </c>
      <c r="C853" s="1" t="s">
        <v>331</v>
      </c>
      <c r="D853" s="1" t="s">
        <v>426</v>
      </c>
      <c r="E853" s="1" t="s">
        <v>428</v>
      </c>
    </row>
    <row r="854" spans="1:5" x14ac:dyDescent="0.25">
      <c r="A854">
        <v>961</v>
      </c>
      <c r="B854" s="1" t="s">
        <v>230</v>
      </c>
      <c r="C854" s="1" t="s">
        <v>231</v>
      </c>
      <c r="D854" s="1" t="s">
        <v>426</v>
      </c>
      <c r="E854" s="1" t="s">
        <v>428</v>
      </c>
    </row>
    <row r="855" spans="1:5" x14ac:dyDescent="0.25">
      <c r="A855">
        <v>965</v>
      </c>
      <c r="B855" s="1" t="s">
        <v>380</v>
      </c>
      <c r="C855" s="1" t="s">
        <v>381</v>
      </c>
      <c r="D855" s="1" t="s">
        <v>426</v>
      </c>
      <c r="E855" s="1" t="s">
        <v>428</v>
      </c>
    </row>
    <row r="856" spans="1:5" x14ac:dyDescent="0.25">
      <c r="A856">
        <v>969</v>
      </c>
      <c r="B856" s="1" t="s">
        <v>228</v>
      </c>
      <c r="C856" s="1" t="s">
        <v>229</v>
      </c>
      <c r="D856" s="1" t="s">
        <v>426</v>
      </c>
      <c r="E856" s="1" t="s">
        <v>428</v>
      </c>
    </row>
    <row r="857" spans="1:5" x14ac:dyDescent="0.25">
      <c r="A857">
        <v>973</v>
      </c>
      <c r="B857" s="1" t="s">
        <v>376</v>
      </c>
      <c r="C857" s="1" t="s">
        <v>377</v>
      </c>
      <c r="D857" s="1" t="s">
        <v>426</v>
      </c>
      <c r="E857" s="1" t="s">
        <v>428</v>
      </c>
    </row>
    <row r="858" spans="1:5" x14ac:dyDescent="0.25">
      <c r="A858">
        <v>979</v>
      </c>
      <c r="B858" s="1" t="s">
        <v>302</v>
      </c>
      <c r="C858" s="1" t="s">
        <v>303</v>
      </c>
      <c r="D858" s="1" t="s">
        <v>426</v>
      </c>
      <c r="E858" s="1" t="s">
        <v>428</v>
      </c>
    </row>
    <row r="859" spans="1:5" x14ac:dyDescent="0.25">
      <c r="A859">
        <v>981</v>
      </c>
      <c r="B859" s="1" t="s">
        <v>240</v>
      </c>
      <c r="C859" s="1" t="s">
        <v>241</v>
      </c>
      <c r="D859" s="1" t="s">
        <v>426</v>
      </c>
      <c r="E859" s="1" t="s">
        <v>428</v>
      </c>
    </row>
    <row r="860" spans="1:5" x14ac:dyDescent="0.25">
      <c r="A860">
        <v>982</v>
      </c>
      <c r="B860" s="1" t="s">
        <v>417</v>
      </c>
      <c r="C860" s="1" t="s">
        <v>418</v>
      </c>
      <c r="D860" s="1" t="s">
        <v>426</v>
      </c>
      <c r="E860" s="1" t="s">
        <v>428</v>
      </c>
    </row>
    <row r="861" spans="1:5" x14ac:dyDescent="0.25">
      <c r="A861">
        <v>989</v>
      </c>
      <c r="B861" s="1" t="s">
        <v>366</v>
      </c>
      <c r="C861" s="1" t="s">
        <v>367</v>
      </c>
      <c r="D861" s="1" t="s">
        <v>426</v>
      </c>
      <c r="E861" s="1" t="s">
        <v>428</v>
      </c>
    </row>
    <row r="862" spans="1:5" x14ac:dyDescent="0.25">
      <c r="A862">
        <v>998</v>
      </c>
      <c r="B862" s="1" t="s">
        <v>405</v>
      </c>
      <c r="C862" s="1" t="s">
        <v>406</v>
      </c>
      <c r="D862" s="1" t="s">
        <v>426</v>
      </c>
      <c r="E862" s="1" t="s">
        <v>428</v>
      </c>
    </row>
    <row r="863" spans="1:5" x14ac:dyDescent="0.25">
      <c r="A863">
        <v>5</v>
      </c>
      <c r="B863" s="1" t="s">
        <v>334</v>
      </c>
      <c r="C863" s="1" t="s">
        <v>335</v>
      </c>
      <c r="D863" s="1" t="s">
        <v>429</v>
      </c>
      <c r="E863" s="1" t="s">
        <v>430</v>
      </c>
    </row>
    <row r="864" spans="1:5" x14ac:dyDescent="0.25">
      <c r="A864">
        <v>10</v>
      </c>
      <c r="B864" s="1" t="s">
        <v>302</v>
      </c>
      <c r="C864" s="1" t="s">
        <v>303</v>
      </c>
      <c r="D864" s="1" t="s">
        <v>429</v>
      </c>
      <c r="E864" s="1" t="s">
        <v>430</v>
      </c>
    </row>
    <row r="865" spans="1:5" x14ac:dyDescent="0.25">
      <c r="A865">
        <v>12</v>
      </c>
      <c r="B865" s="1" t="s">
        <v>370</v>
      </c>
      <c r="C865" s="1" t="s">
        <v>371</v>
      </c>
      <c r="D865" s="1" t="s">
        <v>429</v>
      </c>
      <c r="E865" s="1" t="s">
        <v>430</v>
      </c>
    </row>
    <row r="866" spans="1:5" x14ac:dyDescent="0.25">
      <c r="A866">
        <v>18</v>
      </c>
      <c r="B866" s="1" t="s">
        <v>387</v>
      </c>
      <c r="C866" s="1" t="s">
        <v>388</v>
      </c>
      <c r="D866" s="1" t="s">
        <v>429</v>
      </c>
      <c r="E866" s="1" t="s">
        <v>430</v>
      </c>
    </row>
    <row r="867" spans="1:5" x14ac:dyDescent="0.25">
      <c r="A867">
        <v>20</v>
      </c>
      <c r="B867" s="1" t="s">
        <v>266</v>
      </c>
      <c r="C867" s="1" t="s">
        <v>267</v>
      </c>
      <c r="D867" s="1" t="s">
        <v>429</v>
      </c>
      <c r="E867" s="1" t="s">
        <v>430</v>
      </c>
    </row>
    <row r="868" spans="1:5" x14ac:dyDescent="0.25">
      <c r="A868">
        <v>23</v>
      </c>
      <c r="B868" s="1" t="s">
        <v>296</v>
      </c>
      <c r="C868" s="1" t="s">
        <v>297</v>
      </c>
      <c r="D868" s="1" t="s">
        <v>429</v>
      </c>
      <c r="E868" s="1" t="s">
        <v>430</v>
      </c>
    </row>
    <row r="869" spans="1:5" x14ac:dyDescent="0.25">
      <c r="A869">
        <v>26</v>
      </c>
      <c r="B869" s="1" t="s">
        <v>354</v>
      </c>
      <c r="C869" s="1" t="s">
        <v>355</v>
      </c>
      <c r="D869" s="1" t="s">
        <v>429</v>
      </c>
      <c r="E869" s="1" t="s">
        <v>430</v>
      </c>
    </row>
    <row r="870" spans="1:5" x14ac:dyDescent="0.25">
      <c r="A870">
        <v>31</v>
      </c>
      <c r="B870" s="1" t="s">
        <v>374</v>
      </c>
      <c r="C870" s="1" t="s">
        <v>375</v>
      </c>
      <c r="D870" s="1" t="s">
        <v>429</v>
      </c>
      <c r="E870" s="1" t="s">
        <v>430</v>
      </c>
    </row>
    <row r="871" spans="1:5" x14ac:dyDescent="0.25">
      <c r="A871">
        <v>32</v>
      </c>
      <c r="B871" s="1" t="s">
        <v>276</v>
      </c>
      <c r="C871" s="1" t="s">
        <v>277</v>
      </c>
      <c r="D871" s="1" t="s">
        <v>429</v>
      </c>
      <c r="E871" s="1" t="s">
        <v>430</v>
      </c>
    </row>
    <row r="872" spans="1:5" x14ac:dyDescent="0.25">
      <c r="A872">
        <v>35</v>
      </c>
      <c r="B872" s="1" t="s">
        <v>258</v>
      </c>
      <c r="C872" s="1" t="s">
        <v>259</v>
      </c>
      <c r="D872" s="1" t="s">
        <v>429</v>
      </c>
      <c r="E872" s="1" t="s">
        <v>430</v>
      </c>
    </row>
    <row r="873" spans="1:5" x14ac:dyDescent="0.25">
      <c r="A873">
        <v>49</v>
      </c>
      <c r="B873" s="1" t="s">
        <v>306</v>
      </c>
      <c r="C873" s="1" t="s">
        <v>307</v>
      </c>
      <c r="D873" s="1" t="s">
        <v>429</v>
      </c>
      <c r="E873" s="1" t="s">
        <v>430</v>
      </c>
    </row>
    <row r="874" spans="1:5" x14ac:dyDescent="0.25">
      <c r="A874">
        <v>61</v>
      </c>
      <c r="B874" s="1" t="s">
        <v>344</v>
      </c>
      <c r="C874" s="1" t="s">
        <v>345</v>
      </c>
      <c r="D874" s="1" t="s">
        <v>429</v>
      </c>
      <c r="E874" s="1" t="s">
        <v>430</v>
      </c>
    </row>
    <row r="875" spans="1:5" x14ac:dyDescent="0.25">
      <c r="A875">
        <v>64</v>
      </c>
      <c r="B875" s="1" t="s">
        <v>358</v>
      </c>
      <c r="C875" s="1" t="s">
        <v>359</v>
      </c>
      <c r="D875" s="1" t="s">
        <v>429</v>
      </c>
      <c r="E875" s="1" t="s">
        <v>430</v>
      </c>
    </row>
    <row r="876" spans="1:5" x14ac:dyDescent="0.25">
      <c r="A876">
        <v>69</v>
      </c>
      <c r="B876" s="1" t="s">
        <v>244</v>
      </c>
      <c r="C876" s="1" t="s">
        <v>245</v>
      </c>
      <c r="D876" s="1" t="s">
        <v>429</v>
      </c>
      <c r="E876" s="1" t="s">
        <v>430</v>
      </c>
    </row>
    <row r="877" spans="1:5" x14ac:dyDescent="0.25">
      <c r="A877">
        <v>73</v>
      </c>
      <c r="B877" s="1" t="s">
        <v>294</v>
      </c>
      <c r="C877" s="1" t="s">
        <v>295</v>
      </c>
      <c r="D877" s="1" t="s">
        <v>429</v>
      </c>
      <c r="E877" s="1" t="s">
        <v>430</v>
      </c>
    </row>
    <row r="878" spans="1:5" x14ac:dyDescent="0.25">
      <c r="A878">
        <v>75</v>
      </c>
      <c r="B878" s="1" t="s">
        <v>342</v>
      </c>
      <c r="C878" s="1" t="s">
        <v>343</v>
      </c>
      <c r="D878" s="1" t="s">
        <v>429</v>
      </c>
      <c r="E878" s="1" t="s">
        <v>430</v>
      </c>
    </row>
    <row r="879" spans="1:5" x14ac:dyDescent="0.25">
      <c r="A879">
        <v>76</v>
      </c>
      <c r="B879" s="1" t="s">
        <v>244</v>
      </c>
      <c r="C879" s="1" t="s">
        <v>245</v>
      </c>
      <c r="D879" s="1" t="s">
        <v>429</v>
      </c>
      <c r="E879" s="1" t="s">
        <v>430</v>
      </c>
    </row>
    <row r="880" spans="1:5" x14ac:dyDescent="0.25">
      <c r="A880">
        <v>77</v>
      </c>
      <c r="B880" s="1" t="s">
        <v>409</v>
      </c>
      <c r="C880" s="1" t="s">
        <v>410</v>
      </c>
      <c r="D880" s="1" t="s">
        <v>429</v>
      </c>
      <c r="E880" s="1" t="s">
        <v>430</v>
      </c>
    </row>
    <row r="881" spans="1:5" x14ac:dyDescent="0.25">
      <c r="A881">
        <v>96</v>
      </c>
      <c r="B881" s="1" t="s">
        <v>254</v>
      </c>
      <c r="C881" s="1" t="s">
        <v>255</v>
      </c>
      <c r="D881" s="1" t="s">
        <v>429</v>
      </c>
      <c r="E881" s="1" t="s">
        <v>430</v>
      </c>
    </row>
    <row r="882" spans="1:5" x14ac:dyDescent="0.25">
      <c r="A882">
        <v>99</v>
      </c>
      <c r="B882" s="1" t="s">
        <v>318</v>
      </c>
      <c r="C882" s="1" t="s">
        <v>319</v>
      </c>
      <c r="D882" s="1" t="s">
        <v>429</v>
      </c>
      <c r="E882" s="1" t="s">
        <v>430</v>
      </c>
    </row>
    <row r="883" spans="1:5" x14ac:dyDescent="0.25">
      <c r="A883">
        <v>102</v>
      </c>
      <c r="B883" s="1" t="s">
        <v>407</v>
      </c>
      <c r="C883" s="1" t="s">
        <v>408</v>
      </c>
      <c r="D883" s="1" t="s">
        <v>429</v>
      </c>
      <c r="E883" s="1" t="s">
        <v>430</v>
      </c>
    </row>
    <row r="884" spans="1:5" x14ac:dyDescent="0.25">
      <c r="A884">
        <v>115</v>
      </c>
      <c r="B884" s="1" t="s">
        <v>264</v>
      </c>
      <c r="C884" s="1" t="s">
        <v>265</v>
      </c>
      <c r="D884" s="1" t="s">
        <v>429</v>
      </c>
      <c r="E884" s="1" t="s">
        <v>430</v>
      </c>
    </row>
    <row r="885" spans="1:5" x14ac:dyDescent="0.25">
      <c r="A885">
        <v>117</v>
      </c>
      <c r="B885" s="1" t="s">
        <v>280</v>
      </c>
      <c r="C885" s="1" t="s">
        <v>281</v>
      </c>
      <c r="D885" s="1" t="s">
        <v>429</v>
      </c>
      <c r="E885" s="1" t="s">
        <v>430</v>
      </c>
    </row>
    <row r="886" spans="1:5" x14ac:dyDescent="0.25">
      <c r="A886">
        <v>121</v>
      </c>
      <c r="B886" s="1" t="s">
        <v>296</v>
      </c>
      <c r="C886" s="1" t="s">
        <v>297</v>
      </c>
      <c r="D886" s="1" t="s">
        <v>429</v>
      </c>
      <c r="E886" s="1" t="s">
        <v>430</v>
      </c>
    </row>
    <row r="887" spans="1:5" x14ac:dyDescent="0.25">
      <c r="A887">
        <v>133</v>
      </c>
      <c r="B887" s="1" t="s">
        <v>387</v>
      </c>
      <c r="C887" s="1" t="s">
        <v>388</v>
      </c>
      <c r="D887" s="1" t="s">
        <v>429</v>
      </c>
      <c r="E887" s="1" t="s">
        <v>430</v>
      </c>
    </row>
    <row r="888" spans="1:5" x14ac:dyDescent="0.25">
      <c r="A888">
        <v>140</v>
      </c>
      <c r="B888" s="1" t="s">
        <v>228</v>
      </c>
      <c r="C888" s="1" t="s">
        <v>229</v>
      </c>
      <c r="D888" s="1" t="s">
        <v>429</v>
      </c>
      <c r="E888" s="1" t="s">
        <v>430</v>
      </c>
    </row>
    <row r="889" spans="1:5" x14ac:dyDescent="0.25">
      <c r="A889">
        <v>144</v>
      </c>
      <c r="B889" s="1" t="s">
        <v>324</v>
      </c>
      <c r="C889" s="1" t="s">
        <v>325</v>
      </c>
      <c r="D889" s="1" t="s">
        <v>429</v>
      </c>
      <c r="E889" s="1" t="s">
        <v>430</v>
      </c>
    </row>
    <row r="890" spans="1:5" x14ac:dyDescent="0.25">
      <c r="A890">
        <v>153</v>
      </c>
      <c r="B890" s="1" t="s">
        <v>332</v>
      </c>
      <c r="C890" s="1" t="s">
        <v>333</v>
      </c>
      <c r="D890" s="1" t="s">
        <v>429</v>
      </c>
      <c r="E890" s="1" t="s">
        <v>430</v>
      </c>
    </row>
    <row r="891" spans="1:5" x14ac:dyDescent="0.25">
      <c r="A891">
        <v>169</v>
      </c>
      <c r="B891" s="1" t="s">
        <v>356</v>
      </c>
      <c r="C891" s="1" t="s">
        <v>357</v>
      </c>
      <c r="D891" s="1" t="s">
        <v>429</v>
      </c>
      <c r="E891" s="1" t="s">
        <v>430</v>
      </c>
    </row>
    <row r="892" spans="1:5" x14ac:dyDescent="0.25">
      <c r="A892">
        <v>171</v>
      </c>
      <c r="B892" s="1" t="s">
        <v>372</v>
      </c>
      <c r="C892" s="1" t="s">
        <v>373</v>
      </c>
      <c r="D892" s="1" t="s">
        <v>429</v>
      </c>
      <c r="E892" s="1" t="s">
        <v>430</v>
      </c>
    </row>
    <row r="893" spans="1:5" x14ac:dyDescent="0.25">
      <c r="A893">
        <v>186</v>
      </c>
      <c r="B893" s="1" t="s">
        <v>409</v>
      </c>
      <c r="C893" s="1" t="s">
        <v>410</v>
      </c>
      <c r="D893" s="1" t="s">
        <v>429</v>
      </c>
      <c r="E893" s="1" t="s">
        <v>430</v>
      </c>
    </row>
    <row r="894" spans="1:5" x14ac:dyDescent="0.25">
      <c r="A894">
        <v>188</v>
      </c>
      <c r="B894" s="1" t="s">
        <v>278</v>
      </c>
      <c r="C894" s="1" t="s">
        <v>279</v>
      </c>
      <c r="D894" s="1" t="s">
        <v>429</v>
      </c>
      <c r="E894" s="1" t="s">
        <v>430</v>
      </c>
    </row>
    <row r="895" spans="1:5" x14ac:dyDescent="0.25">
      <c r="A895">
        <v>190</v>
      </c>
      <c r="B895" s="1" t="s">
        <v>391</v>
      </c>
      <c r="C895" s="1" t="s">
        <v>392</v>
      </c>
      <c r="D895" s="1" t="s">
        <v>429</v>
      </c>
      <c r="E895" s="1" t="s">
        <v>430</v>
      </c>
    </row>
    <row r="896" spans="1:5" x14ac:dyDescent="0.25">
      <c r="A896">
        <v>204</v>
      </c>
      <c r="B896" s="1" t="s">
        <v>338</v>
      </c>
      <c r="C896" s="1" t="s">
        <v>339</v>
      </c>
      <c r="D896" s="1" t="s">
        <v>429</v>
      </c>
      <c r="E896" s="1" t="s">
        <v>430</v>
      </c>
    </row>
    <row r="897" spans="1:5" x14ac:dyDescent="0.25">
      <c r="A897">
        <v>207</v>
      </c>
      <c r="B897" s="1" t="s">
        <v>232</v>
      </c>
      <c r="C897" s="1" t="s">
        <v>233</v>
      </c>
      <c r="D897" s="1" t="s">
        <v>429</v>
      </c>
      <c r="E897" s="1" t="s">
        <v>430</v>
      </c>
    </row>
    <row r="898" spans="1:5" x14ac:dyDescent="0.25">
      <c r="A898">
        <v>213</v>
      </c>
      <c r="B898" s="1" t="s">
        <v>358</v>
      </c>
      <c r="C898" s="1" t="s">
        <v>359</v>
      </c>
      <c r="D898" s="1" t="s">
        <v>429</v>
      </c>
      <c r="E898" s="1" t="s">
        <v>430</v>
      </c>
    </row>
    <row r="899" spans="1:5" x14ac:dyDescent="0.25">
      <c r="A899">
        <v>215</v>
      </c>
      <c r="B899" s="1" t="s">
        <v>330</v>
      </c>
      <c r="C899" s="1" t="s">
        <v>331</v>
      </c>
      <c r="D899" s="1" t="s">
        <v>429</v>
      </c>
      <c r="E899" s="1" t="s">
        <v>430</v>
      </c>
    </row>
    <row r="900" spans="1:5" x14ac:dyDescent="0.25">
      <c r="A900">
        <v>223</v>
      </c>
      <c r="B900" s="1" t="s">
        <v>399</v>
      </c>
      <c r="C900" s="1" t="s">
        <v>400</v>
      </c>
      <c r="D900" s="1" t="s">
        <v>429</v>
      </c>
      <c r="E900" s="1" t="s">
        <v>430</v>
      </c>
    </row>
    <row r="901" spans="1:5" x14ac:dyDescent="0.25">
      <c r="A901">
        <v>244</v>
      </c>
      <c r="B901" s="1" t="s">
        <v>318</v>
      </c>
      <c r="C901" s="1" t="s">
        <v>319</v>
      </c>
      <c r="D901" s="1" t="s">
        <v>429</v>
      </c>
      <c r="E901" s="1" t="s">
        <v>430</v>
      </c>
    </row>
    <row r="902" spans="1:5" x14ac:dyDescent="0.25">
      <c r="A902">
        <v>255</v>
      </c>
      <c r="B902" s="1" t="s">
        <v>336</v>
      </c>
      <c r="C902" s="1" t="s">
        <v>337</v>
      </c>
      <c r="D902" s="1" t="s">
        <v>429</v>
      </c>
      <c r="E902" s="1" t="s">
        <v>430</v>
      </c>
    </row>
    <row r="903" spans="1:5" x14ac:dyDescent="0.25">
      <c r="A903">
        <v>270</v>
      </c>
      <c r="B903" s="1" t="s">
        <v>230</v>
      </c>
      <c r="C903" s="1" t="s">
        <v>231</v>
      </c>
      <c r="D903" s="1" t="s">
        <v>429</v>
      </c>
      <c r="E903" s="1" t="s">
        <v>430</v>
      </c>
    </row>
    <row r="904" spans="1:5" x14ac:dyDescent="0.25">
      <c r="A904">
        <v>292</v>
      </c>
      <c r="B904" s="1" t="s">
        <v>292</v>
      </c>
      <c r="C904" s="1" t="s">
        <v>293</v>
      </c>
      <c r="D904" s="1" t="s">
        <v>429</v>
      </c>
      <c r="E904" s="1" t="s">
        <v>430</v>
      </c>
    </row>
    <row r="905" spans="1:5" x14ac:dyDescent="0.25">
      <c r="A905">
        <v>293</v>
      </c>
      <c r="B905" s="1" t="s">
        <v>356</v>
      </c>
      <c r="C905" s="1" t="s">
        <v>357</v>
      </c>
      <c r="D905" s="1" t="s">
        <v>429</v>
      </c>
      <c r="E905" s="1" t="s">
        <v>430</v>
      </c>
    </row>
    <row r="906" spans="1:5" x14ac:dyDescent="0.25">
      <c r="A906">
        <v>295</v>
      </c>
      <c r="B906" s="1" t="s">
        <v>306</v>
      </c>
      <c r="C906" s="1" t="s">
        <v>307</v>
      </c>
      <c r="D906" s="1" t="s">
        <v>429</v>
      </c>
      <c r="E906" s="1" t="s">
        <v>430</v>
      </c>
    </row>
    <row r="907" spans="1:5" x14ac:dyDescent="0.25">
      <c r="A907">
        <v>311</v>
      </c>
      <c r="B907" s="1" t="s">
        <v>280</v>
      </c>
      <c r="C907" s="1" t="s">
        <v>281</v>
      </c>
      <c r="D907" s="1" t="s">
        <v>429</v>
      </c>
      <c r="E907" s="1" t="s">
        <v>430</v>
      </c>
    </row>
    <row r="908" spans="1:5" x14ac:dyDescent="0.25">
      <c r="A908">
        <v>345</v>
      </c>
      <c r="B908" s="1" t="s">
        <v>330</v>
      </c>
      <c r="C908" s="1" t="s">
        <v>331</v>
      </c>
      <c r="D908" s="1" t="s">
        <v>429</v>
      </c>
      <c r="E908" s="1" t="s">
        <v>430</v>
      </c>
    </row>
    <row r="909" spans="1:5" x14ac:dyDescent="0.25">
      <c r="A909">
        <v>348</v>
      </c>
      <c r="B909" s="1" t="s">
        <v>376</v>
      </c>
      <c r="C909" s="1" t="s">
        <v>377</v>
      </c>
      <c r="D909" s="1" t="s">
        <v>429</v>
      </c>
      <c r="E909" s="1" t="s">
        <v>430</v>
      </c>
    </row>
    <row r="910" spans="1:5" x14ac:dyDescent="0.25">
      <c r="A910">
        <v>352</v>
      </c>
      <c r="B910" s="1" t="s">
        <v>389</v>
      </c>
      <c r="C910" s="1" t="s">
        <v>390</v>
      </c>
      <c r="D910" s="1" t="s">
        <v>429</v>
      </c>
      <c r="E910" s="1" t="s">
        <v>430</v>
      </c>
    </row>
    <row r="911" spans="1:5" x14ac:dyDescent="0.25">
      <c r="A911">
        <v>357</v>
      </c>
      <c r="B911" s="1" t="s">
        <v>252</v>
      </c>
      <c r="C911" s="1" t="s">
        <v>253</v>
      </c>
      <c r="D911" s="1" t="s">
        <v>429</v>
      </c>
      <c r="E911" s="1" t="s">
        <v>430</v>
      </c>
    </row>
    <row r="912" spans="1:5" x14ac:dyDescent="0.25">
      <c r="A912">
        <v>370</v>
      </c>
      <c r="B912" s="1" t="s">
        <v>220</v>
      </c>
      <c r="C912" s="1" t="s">
        <v>221</v>
      </c>
      <c r="D912" s="1" t="s">
        <v>429</v>
      </c>
      <c r="E912" s="1" t="s">
        <v>430</v>
      </c>
    </row>
    <row r="913" spans="1:5" x14ac:dyDescent="0.25">
      <c r="A913">
        <v>378</v>
      </c>
      <c r="B913" s="1" t="s">
        <v>376</v>
      </c>
      <c r="C913" s="1" t="s">
        <v>377</v>
      </c>
      <c r="D913" s="1" t="s">
        <v>429</v>
      </c>
      <c r="E913" s="1" t="s">
        <v>430</v>
      </c>
    </row>
    <row r="914" spans="1:5" x14ac:dyDescent="0.25">
      <c r="A914">
        <v>383</v>
      </c>
      <c r="B914" s="1" t="s">
        <v>226</v>
      </c>
      <c r="C914" s="1" t="s">
        <v>227</v>
      </c>
      <c r="D914" s="1" t="s">
        <v>429</v>
      </c>
      <c r="E914" s="1" t="s">
        <v>430</v>
      </c>
    </row>
    <row r="915" spans="1:5" x14ac:dyDescent="0.25">
      <c r="A915">
        <v>385</v>
      </c>
      <c r="B915" s="1" t="s">
        <v>338</v>
      </c>
      <c r="C915" s="1" t="s">
        <v>339</v>
      </c>
      <c r="D915" s="1" t="s">
        <v>429</v>
      </c>
      <c r="E915" s="1" t="s">
        <v>430</v>
      </c>
    </row>
    <row r="916" spans="1:5" x14ac:dyDescent="0.25">
      <c r="A916">
        <v>386</v>
      </c>
      <c r="B916" s="1" t="s">
        <v>378</v>
      </c>
      <c r="C916" s="1" t="s">
        <v>379</v>
      </c>
      <c r="D916" s="1" t="s">
        <v>429</v>
      </c>
      <c r="E916" s="1" t="s">
        <v>430</v>
      </c>
    </row>
    <row r="917" spans="1:5" x14ac:dyDescent="0.25">
      <c r="A917">
        <v>387</v>
      </c>
      <c r="B917" s="1" t="s">
        <v>387</v>
      </c>
      <c r="C917" s="1" t="s">
        <v>388</v>
      </c>
      <c r="D917" s="1" t="s">
        <v>429</v>
      </c>
      <c r="E917" s="1" t="s">
        <v>430</v>
      </c>
    </row>
    <row r="918" spans="1:5" x14ac:dyDescent="0.25">
      <c r="A918">
        <v>391</v>
      </c>
      <c r="B918" s="1" t="s">
        <v>236</v>
      </c>
      <c r="C918" s="1" t="s">
        <v>237</v>
      </c>
      <c r="D918" s="1" t="s">
        <v>429</v>
      </c>
      <c r="E918" s="1" t="s">
        <v>430</v>
      </c>
    </row>
    <row r="919" spans="1:5" x14ac:dyDescent="0.25">
      <c r="A919">
        <v>393</v>
      </c>
      <c r="B919" s="1" t="s">
        <v>270</v>
      </c>
      <c r="C919" s="1" t="s">
        <v>271</v>
      </c>
      <c r="D919" s="1" t="s">
        <v>429</v>
      </c>
      <c r="E919" s="1" t="s">
        <v>430</v>
      </c>
    </row>
    <row r="920" spans="1:5" x14ac:dyDescent="0.25">
      <c r="A920">
        <v>395</v>
      </c>
      <c r="B920" s="1" t="s">
        <v>328</v>
      </c>
      <c r="C920" s="1" t="s">
        <v>329</v>
      </c>
      <c r="D920" s="1" t="s">
        <v>429</v>
      </c>
      <c r="E920" s="1" t="s">
        <v>430</v>
      </c>
    </row>
    <row r="921" spans="1:5" x14ac:dyDescent="0.25">
      <c r="A921">
        <v>400</v>
      </c>
      <c r="B921" s="1" t="s">
        <v>374</v>
      </c>
      <c r="C921" s="1" t="s">
        <v>375</v>
      </c>
      <c r="D921" s="1" t="s">
        <v>429</v>
      </c>
      <c r="E921" s="1" t="s">
        <v>430</v>
      </c>
    </row>
    <row r="922" spans="1:5" x14ac:dyDescent="0.25">
      <c r="A922">
        <v>402</v>
      </c>
      <c r="B922" s="1" t="s">
        <v>364</v>
      </c>
      <c r="C922" s="1" t="s">
        <v>365</v>
      </c>
      <c r="D922" s="1" t="s">
        <v>429</v>
      </c>
      <c r="E922" s="1" t="s">
        <v>430</v>
      </c>
    </row>
    <row r="923" spans="1:5" x14ac:dyDescent="0.25">
      <c r="A923">
        <v>421</v>
      </c>
      <c r="B923" s="1" t="s">
        <v>272</v>
      </c>
      <c r="C923" s="1" t="s">
        <v>273</v>
      </c>
      <c r="D923" s="1" t="s">
        <v>429</v>
      </c>
      <c r="E923" s="1" t="s">
        <v>430</v>
      </c>
    </row>
    <row r="924" spans="1:5" x14ac:dyDescent="0.25">
      <c r="A924">
        <v>426</v>
      </c>
      <c r="B924" s="1" t="s">
        <v>370</v>
      </c>
      <c r="C924" s="1" t="s">
        <v>371</v>
      </c>
      <c r="D924" s="1" t="s">
        <v>429</v>
      </c>
      <c r="E924" s="1" t="s">
        <v>430</v>
      </c>
    </row>
    <row r="925" spans="1:5" x14ac:dyDescent="0.25">
      <c r="A925">
        <v>436</v>
      </c>
      <c r="B925" s="1" t="s">
        <v>322</v>
      </c>
      <c r="C925" s="1" t="s">
        <v>323</v>
      </c>
      <c r="D925" s="1" t="s">
        <v>429</v>
      </c>
      <c r="E925" s="1" t="s">
        <v>430</v>
      </c>
    </row>
    <row r="926" spans="1:5" x14ac:dyDescent="0.25">
      <c r="A926">
        <v>460</v>
      </c>
      <c r="B926" s="1" t="s">
        <v>240</v>
      </c>
      <c r="C926" s="1" t="s">
        <v>241</v>
      </c>
      <c r="D926" s="1" t="s">
        <v>429</v>
      </c>
      <c r="E926" s="1" t="s">
        <v>430</v>
      </c>
    </row>
    <row r="927" spans="1:5" x14ac:dyDescent="0.25">
      <c r="A927">
        <v>462</v>
      </c>
      <c r="B927" s="1" t="s">
        <v>270</v>
      </c>
      <c r="C927" s="1" t="s">
        <v>271</v>
      </c>
      <c r="D927" s="1" t="s">
        <v>429</v>
      </c>
      <c r="E927" s="1" t="s">
        <v>430</v>
      </c>
    </row>
    <row r="928" spans="1:5" x14ac:dyDescent="0.25">
      <c r="A928">
        <v>464</v>
      </c>
      <c r="B928" s="1" t="s">
        <v>304</v>
      </c>
      <c r="C928" s="1" t="s">
        <v>305</v>
      </c>
      <c r="D928" s="1" t="s">
        <v>429</v>
      </c>
      <c r="E928" s="1" t="s">
        <v>430</v>
      </c>
    </row>
    <row r="929" spans="1:5" x14ac:dyDescent="0.25">
      <c r="A929">
        <v>483</v>
      </c>
      <c r="B929" s="1" t="s">
        <v>238</v>
      </c>
      <c r="C929" s="1" t="s">
        <v>239</v>
      </c>
      <c r="D929" s="1" t="s">
        <v>429</v>
      </c>
      <c r="E929" s="1" t="s">
        <v>430</v>
      </c>
    </row>
    <row r="930" spans="1:5" x14ac:dyDescent="0.25">
      <c r="A930">
        <v>484</v>
      </c>
      <c r="B930" s="1" t="s">
        <v>226</v>
      </c>
      <c r="C930" s="1" t="s">
        <v>227</v>
      </c>
      <c r="D930" s="1" t="s">
        <v>429</v>
      </c>
      <c r="E930" s="1" t="s">
        <v>430</v>
      </c>
    </row>
    <row r="931" spans="1:5" x14ac:dyDescent="0.25">
      <c r="A931">
        <v>489</v>
      </c>
      <c r="B931" s="1" t="s">
        <v>385</v>
      </c>
      <c r="C931" s="1" t="s">
        <v>386</v>
      </c>
      <c r="D931" s="1" t="s">
        <v>429</v>
      </c>
      <c r="E931" s="1" t="s">
        <v>430</v>
      </c>
    </row>
    <row r="932" spans="1:5" x14ac:dyDescent="0.25">
      <c r="A932">
        <v>495</v>
      </c>
      <c r="B932" s="1" t="s">
        <v>314</v>
      </c>
      <c r="C932" s="1" t="s">
        <v>315</v>
      </c>
      <c r="D932" s="1" t="s">
        <v>429</v>
      </c>
      <c r="E932" s="1" t="s">
        <v>430</v>
      </c>
    </row>
    <row r="933" spans="1:5" x14ac:dyDescent="0.25">
      <c r="A933">
        <v>509</v>
      </c>
      <c r="B933" s="1" t="s">
        <v>326</v>
      </c>
      <c r="C933" s="1" t="s">
        <v>327</v>
      </c>
      <c r="D933" s="1" t="s">
        <v>429</v>
      </c>
      <c r="E933" s="1" t="s">
        <v>430</v>
      </c>
    </row>
    <row r="934" spans="1:5" x14ac:dyDescent="0.25">
      <c r="A934">
        <v>520</v>
      </c>
      <c r="B934" s="1" t="s">
        <v>385</v>
      </c>
      <c r="C934" s="1" t="s">
        <v>386</v>
      </c>
      <c r="D934" s="1" t="s">
        <v>429</v>
      </c>
      <c r="E934" s="1" t="s">
        <v>430</v>
      </c>
    </row>
    <row r="935" spans="1:5" x14ac:dyDescent="0.25">
      <c r="A935">
        <v>525</v>
      </c>
      <c r="B935" s="1" t="s">
        <v>354</v>
      </c>
      <c r="C935" s="1" t="s">
        <v>355</v>
      </c>
      <c r="D935" s="1" t="s">
        <v>429</v>
      </c>
      <c r="E935" s="1" t="s">
        <v>430</v>
      </c>
    </row>
    <row r="936" spans="1:5" x14ac:dyDescent="0.25">
      <c r="A936">
        <v>532</v>
      </c>
      <c r="B936" s="1" t="s">
        <v>260</v>
      </c>
      <c r="C936" s="1" t="s">
        <v>261</v>
      </c>
      <c r="D936" s="1" t="s">
        <v>429</v>
      </c>
      <c r="E936" s="1" t="s">
        <v>430</v>
      </c>
    </row>
    <row r="937" spans="1:5" x14ac:dyDescent="0.25">
      <c r="A937">
        <v>544</v>
      </c>
      <c r="B937" s="1" t="s">
        <v>360</v>
      </c>
      <c r="C937" s="1" t="s">
        <v>361</v>
      </c>
      <c r="D937" s="1" t="s">
        <v>429</v>
      </c>
      <c r="E937" s="1" t="s">
        <v>430</v>
      </c>
    </row>
    <row r="938" spans="1:5" x14ac:dyDescent="0.25">
      <c r="A938">
        <v>553</v>
      </c>
      <c r="B938" s="1" t="s">
        <v>300</v>
      </c>
      <c r="C938" s="1" t="s">
        <v>301</v>
      </c>
      <c r="D938" s="1" t="s">
        <v>429</v>
      </c>
      <c r="E938" s="1" t="s">
        <v>430</v>
      </c>
    </row>
    <row r="939" spans="1:5" x14ac:dyDescent="0.25">
      <c r="A939">
        <v>555</v>
      </c>
      <c r="B939" s="1" t="s">
        <v>274</v>
      </c>
      <c r="C939" s="1" t="s">
        <v>275</v>
      </c>
      <c r="D939" s="1" t="s">
        <v>429</v>
      </c>
      <c r="E939" s="1" t="s">
        <v>430</v>
      </c>
    </row>
    <row r="940" spans="1:5" x14ac:dyDescent="0.25">
      <c r="A940">
        <v>563</v>
      </c>
      <c r="B940" s="1" t="s">
        <v>421</v>
      </c>
      <c r="C940" s="1" t="s">
        <v>422</v>
      </c>
      <c r="D940" s="1" t="s">
        <v>429</v>
      </c>
      <c r="E940" s="1" t="s">
        <v>430</v>
      </c>
    </row>
    <row r="941" spans="1:5" x14ac:dyDescent="0.25">
      <c r="A941">
        <v>567</v>
      </c>
      <c r="B941" s="1" t="s">
        <v>238</v>
      </c>
      <c r="C941" s="1" t="s">
        <v>239</v>
      </c>
      <c r="D941" s="1" t="s">
        <v>429</v>
      </c>
      <c r="E941" s="1" t="s">
        <v>430</v>
      </c>
    </row>
    <row r="942" spans="1:5" x14ac:dyDescent="0.25">
      <c r="A942">
        <v>569</v>
      </c>
      <c r="B942" s="1" t="s">
        <v>314</v>
      </c>
      <c r="C942" s="1" t="s">
        <v>315</v>
      </c>
      <c r="D942" s="1" t="s">
        <v>429</v>
      </c>
      <c r="E942" s="1" t="s">
        <v>430</v>
      </c>
    </row>
    <row r="943" spans="1:5" x14ac:dyDescent="0.25">
      <c r="A943">
        <v>571</v>
      </c>
      <c r="B943" s="1" t="s">
        <v>360</v>
      </c>
      <c r="C943" s="1" t="s">
        <v>361</v>
      </c>
      <c r="D943" s="1" t="s">
        <v>429</v>
      </c>
      <c r="E943" s="1" t="s">
        <v>430</v>
      </c>
    </row>
    <row r="944" spans="1:5" x14ac:dyDescent="0.25">
      <c r="A944">
        <v>572</v>
      </c>
      <c r="B944" s="1" t="s">
        <v>312</v>
      </c>
      <c r="C944" s="1" t="s">
        <v>313</v>
      </c>
      <c r="D944" s="1" t="s">
        <v>429</v>
      </c>
      <c r="E944" s="1" t="s">
        <v>430</v>
      </c>
    </row>
    <row r="945" spans="1:5" x14ac:dyDescent="0.25">
      <c r="A945">
        <v>594</v>
      </c>
      <c r="B945" s="1" t="s">
        <v>330</v>
      </c>
      <c r="C945" s="1" t="s">
        <v>331</v>
      </c>
      <c r="D945" s="1" t="s">
        <v>429</v>
      </c>
      <c r="E945" s="1" t="s">
        <v>430</v>
      </c>
    </row>
    <row r="946" spans="1:5" x14ac:dyDescent="0.25">
      <c r="A946">
        <v>605</v>
      </c>
      <c r="B946" s="1" t="s">
        <v>378</v>
      </c>
      <c r="C946" s="1" t="s">
        <v>379</v>
      </c>
      <c r="D946" s="1" t="s">
        <v>429</v>
      </c>
      <c r="E946" s="1" t="s">
        <v>430</v>
      </c>
    </row>
    <row r="947" spans="1:5" x14ac:dyDescent="0.25">
      <c r="A947">
        <v>606</v>
      </c>
      <c r="B947" s="1" t="s">
        <v>292</v>
      </c>
      <c r="C947" s="1" t="s">
        <v>293</v>
      </c>
      <c r="D947" s="1" t="s">
        <v>429</v>
      </c>
      <c r="E947" s="1" t="s">
        <v>430</v>
      </c>
    </row>
    <row r="948" spans="1:5" x14ac:dyDescent="0.25">
      <c r="A948">
        <v>609</v>
      </c>
      <c r="B948" s="1" t="s">
        <v>350</v>
      </c>
      <c r="C948" s="1" t="s">
        <v>351</v>
      </c>
      <c r="D948" s="1" t="s">
        <v>429</v>
      </c>
      <c r="E948" s="1" t="s">
        <v>430</v>
      </c>
    </row>
    <row r="949" spans="1:5" x14ac:dyDescent="0.25">
      <c r="A949">
        <v>610</v>
      </c>
      <c r="B949" s="1" t="s">
        <v>356</v>
      </c>
      <c r="C949" s="1" t="s">
        <v>357</v>
      </c>
      <c r="D949" s="1" t="s">
        <v>429</v>
      </c>
      <c r="E949" s="1" t="s">
        <v>430</v>
      </c>
    </row>
    <row r="950" spans="1:5" x14ac:dyDescent="0.25">
      <c r="A950">
        <v>613</v>
      </c>
      <c r="B950" s="1" t="s">
        <v>264</v>
      </c>
      <c r="C950" s="1" t="s">
        <v>265</v>
      </c>
      <c r="D950" s="1" t="s">
        <v>429</v>
      </c>
      <c r="E950" s="1" t="s">
        <v>430</v>
      </c>
    </row>
    <row r="951" spans="1:5" x14ac:dyDescent="0.25">
      <c r="A951">
        <v>642</v>
      </c>
      <c r="B951" s="1" t="s">
        <v>238</v>
      </c>
      <c r="C951" s="1" t="s">
        <v>239</v>
      </c>
      <c r="D951" s="1" t="s">
        <v>429</v>
      </c>
      <c r="E951" s="1" t="s">
        <v>430</v>
      </c>
    </row>
    <row r="952" spans="1:5" x14ac:dyDescent="0.25">
      <c r="A952">
        <v>668</v>
      </c>
      <c r="B952" s="1" t="s">
        <v>304</v>
      </c>
      <c r="C952" s="1" t="s">
        <v>305</v>
      </c>
      <c r="D952" s="1" t="s">
        <v>429</v>
      </c>
      <c r="E952" s="1" t="s">
        <v>430</v>
      </c>
    </row>
    <row r="953" spans="1:5" x14ac:dyDescent="0.25">
      <c r="A953">
        <v>669</v>
      </c>
      <c r="B953" s="1" t="s">
        <v>310</v>
      </c>
      <c r="C953" s="1" t="s">
        <v>311</v>
      </c>
      <c r="D953" s="1" t="s">
        <v>429</v>
      </c>
      <c r="E953" s="1" t="s">
        <v>430</v>
      </c>
    </row>
    <row r="954" spans="1:5" x14ac:dyDescent="0.25">
      <c r="A954">
        <v>672</v>
      </c>
      <c r="B954" s="1" t="s">
        <v>354</v>
      </c>
      <c r="C954" s="1" t="s">
        <v>355</v>
      </c>
      <c r="D954" s="1" t="s">
        <v>429</v>
      </c>
      <c r="E954" s="1" t="s">
        <v>430</v>
      </c>
    </row>
    <row r="955" spans="1:5" x14ac:dyDescent="0.25">
      <c r="A955">
        <v>676</v>
      </c>
      <c r="B955" s="1" t="s">
        <v>278</v>
      </c>
      <c r="C955" s="1" t="s">
        <v>279</v>
      </c>
      <c r="D955" s="1" t="s">
        <v>429</v>
      </c>
      <c r="E955" s="1" t="s">
        <v>430</v>
      </c>
    </row>
    <row r="956" spans="1:5" x14ac:dyDescent="0.25">
      <c r="A956">
        <v>683</v>
      </c>
      <c r="B956" s="1" t="s">
        <v>356</v>
      </c>
      <c r="C956" s="1" t="s">
        <v>357</v>
      </c>
      <c r="D956" s="1" t="s">
        <v>429</v>
      </c>
      <c r="E956" s="1" t="s">
        <v>430</v>
      </c>
    </row>
    <row r="957" spans="1:5" x14ac:dyDescent="0.25">
      <c r="A957">
        <v>689</v>
      </c>
      <c r="B957" s="1" t="s">
        <v>356</v>
      </c>
      <c r="C957" s="1" t="s">
        <v>357</v>
      </c>
      <c r="D957" s="1" t="s">
        <v>429</v>
      </c>
      <c r="E957" s="1" t="s">
        <v>430</v>
      </c>
    </row>
    <row r="958" spans="1:5" x14ac:dyDescent="0.25">
      <c r="A958">
        <v>690</v>
      </c>
      <c r="B958" s="1" t="s">
        <v>328</v>
      </c>
      <c r="C958" s="1" t="s">
        <v>329</v>
      </c>
      <c r="D958" s="1" t="s">
        <v>429</v>
      </c>
      <c r="E958" s="1" t="s">
        <v>430</v>
      </c>
    </row>
    <row r="959" spans="1:5" x14ac:dyDescent="0.25">
      <c r="A959">
        <v>699</v>
      </c>
      <c r="B959" s="1" t="s">
        <v>264</v>
      </c>
      <c r="C959" s="1" t="s">
        <v>265</v>
      </c>
      <c r="D959" s="1" t="s">
        <v>429</v>
      </c>
      <c r="E959" s="1" t="s">
        <v>430</v>
      </c>
    </row>
    <row r="960" spans="1:5" x14ac:dyDescent="0.25">
      <c r="A960">
        <v>708</v>
      </c>
      <c r="B960" s="1" t="s">
        <v>274</v>
      </c>
      <c r="C960" s="1" t="s">
        <v>275</v>
      </c>
      <c r="D960" s="1" t="s">
        <v>429</v>
      </c>
      <c r="E960" s="1" t="s">
        <v>430</v>
      </c>
    </row>
    <row r="961" spans="1:5" x14ac:dyDescent="0.25">
      <c r="A961">
        <v>721</v>
      </c>
      <c r="B961" s="1" t="s">
        <v>334</v>
      </c>
      <c r="C961" s="1" t="s">
        <v>335</v>
      </c>
      <c r="D961" s="1" t="s">
        <v>429</v>
      </c>
      <c r="E961" s="1" t="s">
        <v>430</v>
      </c>
    </row>
    <row r="962" spans="1:5" x14ac:dyDescent="0.25">
      <c r="A962">
        <v>724</v>
      </c>
      <c r="B962" s="1" t="s">
        <v>403</v>
      </c>
      <c r="C962" s="1" t="s">
        <v>404</v>
      </c>
      <c r="D962" s="1" t="s">
        <v>429</v>
      </c>
      <c r="E962" s="1" t="s">
        <v>430</v>
      </c>
    </row>
    <row r="963" spans="1:5" x14ac:dyDescent="0.25">
      <c r="A963">
        <v>730</v>
      </c>
      <c r="B963" s="1" t="s">
        <v>409</v>
      </c>
      <c r="C963" s="1" t="s">
        <v>410</v>
      </c>
      <c r="D963" s="1" t="s">
        <v>429</v>
      </c>
      <c r="E963" s="1" t="s">
        <v>430</v>
      </c>
    </row>
    <row r="964" spans="1:5" x14ac:dyDescent="0.25">
      <c r="A964">
        <v>737</v>
      </c>
      <c r="B964" s="1" t="s">
        <v>274</v>
      </c>
      <c r="C964" s="1" t="s">
        <v>275</v>
      </c>
      <c r="D964" s="1" t="s">
        <v>429</v>
      </c>
      <c r="E964" s="1" t="s">
        <v>430</v>
      </c>
    </row>
    <row r="965" spans="1:5" x14ac:dyDescent="0.25">
      <c r="A965">
        <v>744</v>
      </c>
      <c r="B965" s="1" t="s">
        <v>292</v>
      </c>
      <c r="C965" s="1" t="s">
        <v>293</v>
      </c>
      <c r="D965" s="1" t="s">
        <v>429</v>
      </c>
      <c r="E965" s="1" t="s">
        <v>430</v>
      </c>
    </row>
    <row r="966" spans="1:5" x14ac:dyDescent="0.25">
      <c r="A966">
        <v>750</v>
      </c>
      <c r="B966" s="1" t="s">
        <v>302</v>
      </c>
      <c r="C966" s="1" t="s">
        <v>303</v>
      </c>
      <c r="D966" s="1" t="s">
        <v>429</v>
      </c>
      <c r="E966" s="1" t="s">
        <v>430</v>
      </c>
    </row>
    <row r="967" spans="1:5" x14ac:dyDescent="0.25">
      <c r="A967">
        <v>760</v>
      </c>
      <c r="B967" s="1" t="s">
        <v>258</v>
      </c>
      <c r="C967" s="1" t="s">
        <v>259</v>
      </c>
      <c r="D967" s="1" t="s">
        <v>429</v>
      </c>
      <c r="E967" s="1" t="s">
        <v>430</v>
      </c>
    </row>
    <row r="968" spans="1:5" x14ac:dyDescent="0.25">
      <c r="A968">
        <v>769</v>
      </c>
      <c r="B968" s="1" t="s">
        <v>262</v>
      </c>
      <c r="C968" s="1" t="s">
        <v>263</v>
      </c>
      <c r="D968" s="1" t="s">
        <v>429</v>
      </c>
      <c r="E968" s="1" t="s">
        <v>430</v>
      </c>
    </row>
    <row r="969" spans="1:5" x14ac:dyDescent="0.25">
      <c r="A969">
        <v>791</v>
      </c>
      <c r="B969" s="1" t="s">
        <v>300</v>
      </c>
      <c r="C969" s="1" t="s">
        <v>301</v>
      </c>
      <c r="D969" s="1" t="s">
        <v>429</v>
      </c>
      <c r="E969" s="1" t="s">
        <v>430</v>
      </c>
    </row>
    <row r="970" spans="1:5" x14ac:dyDescent="0.25">
      <c r="A970">
        <v>798</v>
      </c>
      <c r="B970" s="1" t="s">
        <v>397</v>
      </c>
      <c r="C970" s="1" t="s">
        <v>398</v>
      </c>
      <c r="D970" s="1" t="s">
        <v>429</v>
      </c>
      <c r="E970" s="1" t="s">
        <v>430</v>
      </c>
    </row>
    <row r="971" spans="1:5" x14ac:dyDescent="0.25">
      <c r="A971">
        <v>800</v>
      </c>
      <c r="B971" s="1" t="s">
        <v>252</v>
      </c>
      <c r="C971" s="1" t="s">
        <v>253</v>
      </c>
      <c r="D971" s="1" t="s">
        <v>429</v>
      </c>
      <c r="E971" s="1" t="s">
        <v>430</v>
      </c>
    </row>
    <row r="972" spans="1:5" x14ac:dyDescent="0.25">
      <c r="A972">
        <v>806</v>
      </c>
      <c r="B972" s="1" t="s">
        <v>360</v>
      </c>
      <c r="C972" s="1" t="s">
        <v>361</v>
      </c>
      <c r="D972" s="1" t="s">
        <v>429</v>
      </c>
      <c r="E972" s="1" t="s">
        <v>430</v>
      </c>
    </row>
    <row r="973" spans="1:5" x14ac:dyDescent="0.25">
      <c r="A973">
        <v>814</v>
      </c>
      <c r="B973" s="1" t="s">
        <v>260</v>
      </c>
      <c r="C973" s="1" t="s">
        <v>261</v>
      </c>
      <c r="D973" s="1" t="s">
        <v>429</v>
      </c>
      <c r="E973" s="1" t="s">
        <v>430</v>
      </c>
    </row>
    <row r="974" spans="1:5" x14ac:dyDescent="0.25">
      <c r="A974">
        <v>817</v>
      </c>
      <c r="B974" s="1" t="s">
        <v>254</v>
      </c>
      <c r="C974" s="1" t="s">
        <v>255</v>
      </c>
      <c r="D974" s="1" t="s">
        <v>429</v>
      </c>
      <c r="E974" s="1" t="s">
        <v>430</v>
      </c>
    </row>
    <row r="975" spans="1:5" x14ac:dyDescent="0.25">
      <c r="A975">
        <v>821</v>
      </c>
      <c r="B975" s="1" t="s">
        <v>244</v>
      </c>
      <c r="C975" s="1" t="s">
        <v>245</v>
      </c>
      <c r="D975" s="1" t="s">
        <v>429</v>
      </c>
      <c r="E975" s="1" t="s">
        <v>430</v>
      </c>
    </row>
    <row r="976" spans="1:5" x14ac:dyDescent="0.25">
      <c r="A976">
        <v>823</v>
      </c>
      <c r="B976" s="1" t="s">
        <v>324</v>
      </c>
      <c r="C976" s="1" t="s">
        <v>325</v>
      </c>
      <c r="D976" s="1" t="s">
        <v>429</v>
      </c>
      <c r="E976" s="1" t="s">
        <v>430</v>
      </c>
    </row>
    <row r="977" spans="1:5" x14ac:dyDescent="0.25">
      <c r="A977">
        <v>829</v>
      </c>
      <c r="B977" s="1" t="s">
        <v>358</v>
      </c>
      <c r="C977" s="1" t="s">
        <v>359</v>
      </c>
      <c r="D977" s="1" t="s">
        <v>429</v>
      </c>
      <c r="E977" s="1" t="s">
        <v>430</v>
      </c>
    </row>
    <row r="978" spans="1:5" x14ac:dyDescent="0.25">
      <c r="A978">
        <v>830</v>
      </c>
      <c r="B978" s="1" t="s">
        <v>286</v>
      </c>
      <c r="C978" s="1" t="s">
        <v>287</v>
      </c>
      <c r="D978" s="1" t="s">
        <v>429</v>
      </c>
      <c r="E978" s="1" t="s">
        <v>430</v>
      </c>
    </row>
    <row r="979" spans="1:5" x14ac:dyDescent="0.25">
      <c r="A979">
        <v>836</v>
      </c>
      <c r="B979" s="1" t="s">
        <v>282</v>
      </c>
      <c r="C979" s="1" t="s">
        <v>283</v>
      </c>
      <c r="D979" s="1" t="s">
        <v>429</v>
      </c>
      <c r="E979" s="1" t="s">
        <v>430</v>
      </c>
    </row>
    <row r="980" spans="1:5" x14ac:dyDescent="0.25">
      <c r="A980">
        <v>845</v>
      </c>
      <c r="B980" s="1" t="s">
        <v>380</v>
      </c>
      <c r="C980" s="1" t="s">
        <v>381</v>
      </c>
      <c r="D980" s="1" t="s">
        <v>429</v>
      </c>
      <c r="E980" s="1" t="s">
        <v>430</v>
      </c>
    </row>
    <row r="981" spans="1:5" x14ac:dyDescent="0.25">
      <c r="A981">
        <v>847</v>
      </c>
      <c r="B981" s="1" t="s">
        <v>405</v>
      </c>
      <c r="C981" s="1" t="s">
        <v>406</v>
      </c>
      <c r="D981" s="1" t="s">
        <v>429</v>
      </c>
      <c r="E981" s="1" t="s">
        <v>430</v>
      </c>
    </row>
    <row r="982" spans="1:5" x14ac:dyDescent="0.25">
      <c r="A982">
        <v>856</v>
      </c>
      <c r="B982" s="1" t="s">
        <v>411</v>
      </c>
      <c r="C982" s="1" t="s">
        <v>412</v>
      </c>
      <c r="D982" s="1" t="s">
        <v>429</v>
      </c>
      <c r="E982" s="1" t="s">
        <v>430</v>
      </c>
    </row>
    <row r="983" spans="1:5" x14ac:dyDescent="0.25">
      <c r="A983">
        <v>874</v>
      </c>
      <c r="B983" s="1" t="s">
        <v>280</v>
      </c>
      <c r="C983" s="1" t="s">
        <v>281</v>
      </c>
      <c r="D983" s="1" t="s">
        <v>429</v>
      </c>
      <c r="E983" s="1" t="s">
        <v>430</v>
      </c>
    </row>
    <row r="984" spans="1:5" x14ac:dyDescent="0.25">
      <c r="A984">
        <v>894</v>
      </c>
      <c r="B984" s="1" t="s">
        <v>399</v>
      </c>
      <c r="C984" s="1" t="s">
        <v>400</v>
      </c>
      <c r="D984" s="1" t="s">
        <v>429</v>
      </c>
      <c r="E984" s="1" t="s">
        <v>430</v>
      </c>
    </row>
    <row r="985" spans="1:5" x14ac:dyDescent="0.25">
      <c r="A985">
        <v>895</v>
      </c>
      <c r="B985" s="1" t="s">
        <v>290</v>
      </c>
      <c r="C985" s="1" t="s">
        <v>291</v>
      </c>
      <c r="D985" s="1" t="s">
        <v>429</v>
      </c>
      <c r="E985" s="1" t="s">
        <v>430</v>
      </c>
    </row>
    <row r="986" spans="1:5" x14ac:dyDescent="0.25">
      <c r="A986">
        <v>917</v>
      </c>
      <c r="B986" s="1" t="s">
        <v>403</v>
      </c>
      <c r="C986" s="1" t="s">
        <v>404</v>
      </c>
      <c r="D986" s="1" t="s">
        <v>429</v>
      </c>
      <c r="E986" s="1" t="s">
        <v>430</v>
      </c>
    </row>
    <row r="987" spans="1:5" x14ac:dyDescent="0.25">
      <c r="A987">
        <v>919</v>
      </c>
      <c r="B987" s="1" t="s">
        <v>376</v>
      </c>
      <c r="C987" s="1" t="s">
        <v>377</v>
      </c>
      <c r="D987" s="1" t="s">
        <v>429</v>
      </c>
      <c r="E987" s="1" t="s">
        <v>430</v>
      </c>
    </row>
    <row r="988" spans="1:5" x14ac:dyDescent="0.25">
      <c r="A988">
        <v>924</v>
      </c>
      <c r="B988" s="1" t="s">
        <v>364</v>
      </c>
      <c r="C988" s="1" t="s">
        <v>365</v>
      </c>
      <c r="D988" s="1" t="s">
        <v>429</v>
      </c>
      <c r="E988" s="1" t="s">
        <v>430</v>
      </c>
    </row>
    <row r="989" spans="1:5" x14ac:dyDescent="0.25">
      <c r="A989">
        <v>925</v>
      </c>
      <c r="B989" s="1" t="s">
        <v>393</v>
      </c>
      <c r="C989" s="1" t="s">
        <v>394</v>
      </c>
      <c r="D989" s="1" t="s">
        <v>429</v>
      </c>
      <c r="E989" s="1" t="s">
        <v>430</v>
      </c>
    </row>
    <row r="990" spans="1:5" x14ac:dyDescent="0.25">
      <c r="A990">
        <v>940</v>
      </c>
      <c r="B990" s="1" t="s">
        <v>348</v>
      </c>
      <c r="C990" s="1" t="s">
        <v>349</v>
      </c>
      <c r="D990" s="1" t="s">
        <v>429</v>
      </c>
      <c r="E990" s="1" t="s">
        <v>430</v>
      </c>
    </row>
    <row r="991" spans="1:5" x14ac:dyDescent="0.25">
      <c r="A991">
        <v>948</v>
      </c>
      <c r="B991" s="1" t="s">
        <v>284</v>
      </c>
      <c r="C991" s="1" t="s">
        <v>285</v>
      </c>
      <c r="D991" s="1" t="s">
        <v>429</v>
      </c>
      <c r="E991" s="1" t="s">
        <v>430</v>
      </c>
    </row>
    <row r="992" spans="1:5" x14ac:dyDescent="0.25">
      <c r="A992">
        <v>952</v>
      </c>
      <c r="B992" s="1" t="s">
        <v>300</v>
      </c>
      <c r="C992" s="1" t="s">
        <v>301</v>
      </c>
      <c r="D992" s="1" t="s">
        <v>429</v>
      </c>
      <c r="E992" s="1" t="s">
        <v>430</v>
      </c>
    </row>
    <row r="993" spans="1:5" x14ac:dyDescent="0.25">
      <c r="A993">
        <v>956</v>
      </c>
      <c r="B993" s="1" t="s">
        <v>374</v>
      </c>
      <c r="C993" s="1" t="s">
        <v>375</v>
      </c>
      <c r="D993" s="1" t="s">
        <v>429</v>
      </c>
      <c r="E993" s="1" t="s">
        <v>430</v>
      </c>
    </row>
    <row r="994" spans="1:5" x14ac:dyDescent="0.25">
      <c r="A994">
        <v>957</v>
      </c>
      <c r="B994" s="1" t="s">
        <v>260</v>
      </c>
      <c r="C994" s="1" t="s">
        <v>261</v>
      </c>
      <c r="D994" s="1" t="s">
        <v>429</v>
      </c>
      <c r="E994" s="1" t="s">
        <v>430</v>
      </c>
    </row>
    <row r="995" spans="1:5" x14ac:dyDescent="0.25">
      <c r="A995">
        <v>962</v>
      </c>
      <c r="B995" s="1" t="s">
        <v>399</v>
      </c>
      <c r="C995" s="1" t="s">
        <v>400</v>
      </c>
      <c r="D995" s="1" t="s">
        <v>429</v>
      </c>
      <c r="E995" s="1" t="s">
        <v>430</v>
      </c>
    </row>
    <row r="996" spans="1:5" x14ac:dyDescent="0.25">
      <c r="A996">
        <v>964</v>
      </c>
      <c r="B996" s="1" t="s">
        <v>387</v>
      </c>
      <c r="C996" s="1" t="s">
        <v>388</v>
      </c>
      <c r="D996" s="1" t="s">
        <v>429</v>
      </c>
      <c r="E996" s="1" t="s">
        <v>430</v>
      </c>
    </row>
    <row r="997" spans="1:5" x14ac:dyDescent="0.25">
      <c r="A997">
        <v>971</v>
      </c>
      <c r="B997" s="1" t="s">
        <v>376</v>
      </c>
      <c r="C997" s="1" t="s">
        <v>377</v>
      </c>
      <c r="D997" s="1" t="s">
        <v>429</v>
      </c>
      <c r="E997" s="1" t="s">
        <v>430</v>
      </c>
    </row>
    <row r="998" spans="1:5" x14ac:dyDescent="0.25">
      <c r="A998">
        <v>985</v>
      </c>
      <c r="B998" s="1" t="s">
        <v>368</v>
      </c>
      <c r="C998" s="1" t="s">
        <v>369</v>
      </c>
      <c r="D998" s="1" t="s">
        <v>429</v>
      </c>
      <c r="E998" s="1" t="s">
        <v>430</v>
      </c>
    </row>
    <row r="999" spans="1:5" x14ac:dyDescent="0.25">
      <c r="A999">
        <v>987</v>
      </c>
      <c r="B999" s="1" t="s">
        <v>270</v>
      </c>
      <c r="C999" s="1" t="s">
        <v>271</v>
      </c>
      <c r="D999" s="1" t="s">
        <v>429</v>
      </c>
      <c r="E999" s="1" t="s">
        <v>430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DDE9-02F0-4936-BBE1-4E25A8B3A94C}">
  <dimension ref="A1:G1001"/>
  <sheetViews>
    <sheetView workbookViewId="0">
      <selection sqref="A1:G1001"/>
    </sheetView>
  </sheetViews>
  <sheetFormatPr defaultRowHeight="15" x14ac:dyDescent="0.25"/>
  <cols>
    <col min="1" max="1" width="17.5703125" bestFit="1" customWidth="1"/>
    <col min="2" max="2" width="14.28515625" bestFit="1" customWidth="1"/>
    <col min="3" max="3" width="16" bestFit="1" customWidth="1"/>
    <col min="4" max="4" width="11.28515625" bestFit="1" customWidth="1"/>
    <col min="5" max="5" width="10.7109375" bestFit="1" customWidth="1"/>
    <col min="6" max="6" width="12.28515625" bestFit="1" customWidth="1"/>
    <col min="7" max="7" width="15.85546875" bestFit="1" customWidth="1"/>
  </cols>
  <sheetData>
    <row r="1" spans="1:7" x14ac:dyDescent="0.25">
      <c r="A1" t="s">
        <v>431</v>
      </c>
      <c r="B1" t="s">
        <v>215</v>
      </c>
      <c r="C1" t="s">
        <v>0</v>
      </c>
      <c r="D1" t="s">
        <v>210</v>
      </c>
      <c r="E1" t="s">
        <v>432</v>
      </c>
      <c r="F1" t="s">
        <v>433</v>
      </c>
      <c r="G1" t="s">
        <v>434</v>
      </c>
    </row>
    <row r="2" spans="1:7" x14ac:dyDescent="0.25">
      <c r="A2">
        <v>1</v>
      </c>
      <c r="B2">
        <v>961</v>
      </c>
      <c r="C2">
        <v>41</v>
      </c>
      <c r="D2" s="2">
        <v>45480</v>
      </c>
      <c r="F2">
        <v>980.55</v>
      </c>
      <c r="G2">
        <v>1961.1</v>
      </c>
    </row>
    <row r="3" spans="1:7" x14ac:dyDescent="0.25">
      <c r="A3">
        <v>2</v>
      </c>
      <c r="B3">
        <v>907</v>
      </c>
      <c r="C3">
        <v>83</v>
      </c>
      <c r="D3" s="2">
        <v>45544</v>
      </c>
      <c r="F3">
        <v>546.47</v>
      </c>
      <c r="G3">
        <v>546.47</v>
      </c>
    </row>
    <row r="4" spans="1:7" x14ac:dyDescent="0.25">
      <c r="A4">
        <v>3</v>
      </c>
      <c r="B4">
        <v>970</v>
      </c>
      <c r="C4">
        <v>86</v>
      </c>
      <c r="D4" s="2">
        <v>45780</v>
      </c>
      <c r="F4">
        <v>190.74</v>
      </c>
      <c r="G4">
        <v>381.48</v>
      </c>
    </row>
    <row r="5" spans="1:7" x14ac:dyDescent="0.25">
      <c r="A5">
        <v>4</v>
      </c>
      <c r="B5">
        <v>969</v>
      </c>
      <c r="C5">
        <v>57</v>
      </c>
      <c r="D5" s="2">
        <v>45737</v>
      </c>
      <c r="F5">
        <v>262.44</v>
      </c>
      <c r="G5">
        <v>787.32</v>
      </c>
    </row>
    <row r="6" spans="1:7" x14ac:dyDescent="0.25">
      <c r="A6">
        <v>5</v>
      </c>
      <c r="B6">
        <v>966</v>
      </c>
      <c r="C6">
        <v>84</v>
      </c>
      <c r="D6" s="2">
        <v>45790</v>
      </c>
      <c r="F6">
        <v>643.65</v>
      </c>
      <c r="G6">
        <v>2574.6</v>
      </c>
    </row>
    <row r="7" spans="1:7" x14ac:dyDescent="0.25">
      <c r="A7">
        <v>6</v>
      </c>
      <c r="B7">
        <v>685</v>
      </c>
      <c r="C7">
        <v>97</v>
      </c>
      <c r="D7" s="2">
        <v>45555</v>
      </c>
      <c r="F7">
        <v>273.11</v>
      </c>
      <c r="G7">
        <v>273.11</v>
      </c>
    </row>
    <row r="8" spans="1:7" x14ac:dyDescent="0.25">
      <c r="A8">
        <v>7</v>
      </c>
      <c r="B8">
        <v>952</v>
      </c>
      <c r="C8">
        <v>92</v>
      </c>
      <c r="D8" s="2">
        <v>45492</v>
      </c>
      <c r="F8">
        <v>844.84</v>
      </c>
      <c r="G8">
        <v>2534.52</v>
      </c>
    </row>
    <row r="9" spans="1:7" x14ac:dyDescent="0.25">
      <c r="A9">
        <v>8</v>
      </c>
      <c r="B9">
        <v>913</v>
      </c>
      <c r="C9">
        <v>62</v>
      </c>
      <c r="D9" s="2">
        <v>45737</v>
      </c>
      <c r="F9">
        <v>590.27</v>
      </c>
      <c r="G9">
        <v>2951.35</v>
      </c>
    </row>
    <row r="10" spans="1:7" x14ac:dyDescent="0.25">
      <c r="A10">
        <v>9</v>
      </c>
      <c r="B10">
        <v>947</v>
      </c>
      <c r="C10">
        <v>39</v>
      </c>
      <c r="D10" s="2">
        <v>45649</v>
      </c>
      <c r="F10">
        <v>687.94</v>
      </c>
      <c r="G10">
        <v>1375.88</v>
      </c>
    </row>
    <row r="11" spans="1:7" x14ac:dyDescent="0.25">
      <c r="A11">
        <v>10</v>
      </c>
      <c r="B11">
        <v>979</v>
      </c>
      <c r="C11">
        <v>93</v>
      </c>
      <c r="D11" s="2">
        <v>45722</v>
      </c>
      <c r="F11">
        <v>258.52999999999997</v>
      </c>
      <c r="G11">
        <v>1034.1199999999999</v>
      </c>
    </row>
    <row r="12" spans="1:7" x14ac:dyDescent="0.25">
      <c r="A12">
        <v>11</v>
      </c>
      <c r="B12">
        <v>897</v>
      </c>
      <c r="C12">
        <v>65</v>
      </c>
      <c r="D12" s="2">
        <v>45522</v>
      </c>
      <c r="F12">
        <v>528.22</v>
      </c>
      <c r="G12">
        <v>1056.44</v>
      </c>
    </row>
    <row r="13" spans="1:7" x14ac:dyDescent="0.25">
      <c r="A13">
        <v>12</v>
      </c>
      <c r="B13">
        <v>977</v>
      </c>
      <c r="C13">
        <v>71</v>
      </c>
      <c r="D13" s="2">
        <v>45530</v>
      </c>
      <c r="F13">
        <v>476.78</v>
      </c>
      <c r="G13">
        <v>476.78</v>
      </c>
    </row>
    <row r="14" spans="1:7" x14ac:dyDescent="0.25">
      <c r="A14">
        <v>13</v>
      </c>
      <c r="B14">
        <v>970</v>
      </c>
      <c r="C14">
        <v>18</v>
      </c>
      <c r="D14" s="2">
        <v>45479</v>
      </c>
      <c r="F14">
        <v>398.57</v>
      </c>
      <c r="G14">
        <v>398.57</v>
      </c>
    </row>
    <row r="15" spans="1:7" x14ac:dyDescent="0.25">
      <c r="A15">
        <v>14</v>
      </c>
      <c r="B15">
        <v>897</v>
      </c>
      <c r="C15">
        <v>93</v>
      </c>
      <c r="D15" s="2">
        <v>45459</v>
      </c>
      <c r="F15">
        <v>53.11</v>
      </c>
      <c r="G15">
        <v>265.55</v>
      </c>
    </row>
    <row r="16" spans="1:7" x14ac:dyDescent="0.25">
      <c r="A16">
        <v>15</v>
      </c>
      <c r="B16">
        <v>812</v>
      </c>
      <c r="C16">
        <v>17</v>
      </c>
      <c r="D16" s="2">
        <v>45578</v>
      </c>
      <c r="F16">
        <v>407.62</v>
      </c>
      <c r="G16">
        <v>1630.48</v>
      </c>
    </row>
    <row r="17" spans="1:7" x14ac:dyDescent="0.25">
      <c r="A17">
        <v>16</v>
      </c>
      <c r="B17">
        <v>972</v>
      </c>
      <c r="C17">
        <v>2</v>
      </c>
      <c r="D17" s="2">
        <v>45682</v>
      </c>
      <c r="F17">
        <v>535.05999999999995</v>
      </c>
      <c r="G17">
        <v>2675.3</v>
      </c>
    </row>
    <row r="18" spans="1:7" x14ac:dyDescent="0.25">
      <c r="A18">
        <v>17</v>
      </c>
      <c r="B18">
        <v>705</v>
      </c>
      <c r="C18">
        <v>85</v>
      </c>
      <c r="D18" s="2">
        <v>45582</v>
      </c>
      <c r="F18">
        <v>549.58000000000004</v>
      </c>
      <c r="G18">
        <v>2747.9</v>
      </c>
    </row>
    <row r="19" spans="1:7" x14ac:dyDescent="0.25">
      <c r="A19">
        <v>18</v>
      </c>
      <c r="B19">
        <v>964</v>
      </c>
      <c r="C19">
        <v>72</v>
      </c>
      <c r="D19" s="2">
        <v>45700</v>
      </c>
      <c r="F19">
        <v>776.77</v>
      </c>
      <c r="G19">
        <v>1553.54</v>
      </c>
    </row>
    <row r="20" spans="1:7" x14ac:dyDescent="0.25">
      <c r="A20">
        <v>19</v>
      </c>
      <c r="B20">
        <v>993</v>
      </c>
      <c r="C20">
        <v>73</v>
      </c>
      <c r="D20" s="2">
        <v>45589</v>
      </c>
      <c r="F20">
        <v>405.03</v>
      </c>
      <c r="G20">
        <v>405.03</v>
      </c>
    </row>
    <row r="21" spans="1:7" x14ac:dyDescent="0.25">
      <c r="A21">
        <v>20</v>
      </c>
      <c r="B21">
        <v>939</v>
      </c>
      <c r="C21">
        <v>69</v>
      </c>
      <c r="D21" s="2">
        <v>45525</v>
      </c>
      <c r="F21">
        <v>389.89</v>
      </c>
      <c r="G21">
        <v>779.78</v>
      </c>
    </row>
    <row r="22" spans="1:7" x14ac:dyDescent="0.25">
      <c r="A22">
        <v>21</v>
      </c>
      <c r="B22">
        <v>941</v>
      </c>
      <c r="C22">
        <v>44</v>
      </c>
      <c r="D22" s="2">
        <v>45668</v>
      </c>
      <c r="F22">
        <v>727.07</v>
      </c>
      <c r="G22">
        <v>2181.21</v>
      </c>
    </row>
    <row r="23" spans="1:7" x14ac:dyDescent="0.25">
      <c r="A23">
        <v>22</v>
      </c>
      <c r="B23">
        <v>983</v>
      </c>
      <c r="C23">
        <v>27</v>
      </c>
      <c r="D23" s="2">
        <v>45742</v>
      </c>
      <c r="F23">
        <v>84.78</v>
      </c>
      <c r="G23">
        <v>254.34</v>
      </c>
    </row>
    <row r="24" spans="1:7" x14ac:dyDescent="0.25">
      <c r="A24">
        <v>23</v>
      </c>
      <c r="B24">
        <v>685</v>
      </c>
      <c r="C24">
        <v>21</v>
      </c>
      <c r="D24" s="2">
        <v>45458</v>
      </c>
      <c r="F24">
        <v>192.06</v>
      </c>
      <c r="G24">
        <v>384.12</v>
      </c>
    </row>
    <row r="25" spans="1:7" x14ac:dyDescent="0.25">
      <c r="A25">
        <v>24</v>
      </c>
      <c r="B25">
        <v>974</v>
      </c>
      <c r="C25">
        <v>51</v>
      </c>
      <c r="D25" s="2">
        <v>45436</v>
      </c>
      <c r="F25">
        <v>224.03</v>
      </c>
      <c r="G25">
        <v>224.03</v>
      </c>
    </row>
    <row r="26" spans="1:7" x14ac:dyDescent="0.25">
      <c r="A26">
        <v>25</v>
      </c>
      <c r="B26">
        <v>942</v>
      </c>
      <c r="C26">
        <v>48</v>
      </c>
      <c r="D26" s="2">
        <v>45737</v>
      </c>
      <c r="F26">
        <v>481.97</v>
      </c>
      <c r="G26">
        <v>2409.85</v>
      </c>
    </row>
    <row r="27" spans="1:7" x14ac:dyDescent="0.25">
      <c r="A27">
        <v>26</v>
      </c>
      <c r="B27">
        <v>705</v>
      </c>
      <c r="C27">
        <v>56</v>
      </c>
      <c r="D27" s="2">
        <v>45724</v>
      </c>
      <c r="F27">
        <v>744.04</v>
      </c>
      <c r="G27">
        <v>744.04</v>
      </c>
    </row>
    <row r="28" spans="1:7" x14ac:dyDescent="0.25">
      <c r="A28">
        <v>27</v>
      </c>
      <c r="B28">
        <v>941</v>
      </c>
      <c r="C28">
        <v>32</v>
      </c>
      <c r="D28" s="2">
        <v>45436</v>
      </c>
      <c r="F28">
        <v>121.98</v>
      </c>
      <c r="G28">
        <v>487.92</v>
      </c>
    </row>
    <row r="29" spans="1:7" x14ac:dyDescent="0.25">
      <c r="A29">
        <v>28</v>
      </c>
      <c r="B29">
        <v>811</v>
      </c>
      <c r="C29">
        <v>9</v>
      </c>
      <c r="D29" s="2">
        <v>45559</v>
      </c>
      <c r="F29">
        <v>76.06</v>
      </c>
      <c r="G29">
        <v>228.18</v>
      </c>
    </row>
    <row r="30" spans="1:7" x14ac:dyDescent="0.25">
      <c r="A30">
        <v>29</v>
      </c>
      <c r="B30">
        <v>651</v>
      </c>
      <c r="C30">
        <v>89</v>
      </c>
      <c r="D30" s="2">
        <v>45473</v>
      </c>
      <c r="F30">
        <v>74.92</v>
      </c>
      <c r="G30">
        <v>374.6</v>
      </c>
    </row>
    <row r="31" spans="1:7" x14ac:dyDescent="0.25">
      <c r="A31">
        <v>30</v>
      </c>
      <c r="B31">
        <v>867</v>
      </c>
      <c r="C31">
        <v>43</v>
      </c>
      <c r="D31" s="2">
        <v>45621</v>
      </c>
      <c r="F31">
        <v>191.44</v>
      </c>
      <c r="G31">
        <v>382.88</v>
      </c>
    </row>
    <row r="32" spans="1:7" x14ac:dyDescent="0.25">
      <c r="A32">
        <v>31</v>
      </c>
      <c r="B32">
        <v>956</v>
      </c>
      <c r="C32">
        <v>24</v>
      </c>
      <c r="D32" s="2">
        <v>45613</v>
      </c>
      <c r="F32">
        <v>903.92</v>
      </c>
      <c r="G32">
        <v>903.92</v>
      </c>
    </row>
    <row r="33" spans="1:7" x14ac:dyDescent="0.25">
      <c r="A33">
        <v>32</v>
      </c>
      <c r="B33">
        <v>934</v>
      </c>
      <c r="C33">
        <v>86</v>
      </c>
      <c r="D33" s="2">
        <v>45732</v>
      </c>
      <c r="F33">
        <v>480.45</v>
      </c>
      <c r="G33">
        <v>480.45</v>
      </c>
    </row>
    <row r="34" spans="1:7" x14ac:dyDescent="0.25">
      <c r="A34">
        <v>33</v>
      </c>
      <c r="B34">
        <v>952</v>
      </c>
      <c r="C34">
        <v>39</v>
      </c>
      <c r="D34" s="2">
        <v>45540</v>
      </c>
      <c r="F34">
        <v>373.73</v>
      </c>
      <c r="G34">
        <v>747.46</v>
      </c>
    </row>
    <row r="35" spans="1:7" x14ac:dyDescent="0.25">
      <c r="A35">
        <v>34</v>
      </c>
      <c r="B35">
        <v>837</v>
      </c>
      <c r="C35">
        <v>67</v>
      </c>
      <c r="D35" s="2">
        <v>45665</v>
      </c>
      <c r="F35">
        <v>303.19</v>
      </c>
      <c r="G35">
        <v>1515.95</v>
      </c>
    </row>
    <row r="36" spans="1:7" x14ac:dyDescent="0.25">
      <c r="A36">
        <v>35</v>
      </c>
      <c r="B36">
        <v>886</v>
      </c>
      <c r="C36">
        <v>42</v>
      </c>
      <c r="D36" s="2">
        <v>45753</v>
      </c>
      <c r="F36">
        <v>388.56</v>
      </c>
      <c r="G36">
        <v>777.12</v>
      </c>
    </row>
    <row r="37" spans="1:7" x14ac:dyDescent="0.25">
      <c r="A37">
        <v>36</v>
      </c>
      <c r="B37">
        <v>854</v>
      </c>
      <c r="C37">
        <v>1</v>
      </c>
      <c r="D37" s="2">
        <v>45694</v>
      </c>
      <c r="F37">
        <v>557.69000000000005</v>
      </c>
      <c r="G37">
        <v>2230.7600000000002</v>
      </c>
    </row>
    <row r="38" spans="1:7" x14ac:dyDescent="0.25">
      <c r="A38">
        <v>37</v>
      </c>
      <c r="B38">
        <v>964</v>
      </c>
      <c r="C38">
        <v>8</v>
      </c>
      <c r="D38" s="2">
        <v>45726</v>
      </c>
      <c r="F38">
        <v>143.32</v>
      </c>
      <c r="G38">
        <v>716.6</v>
      </c>
    </row>
    <row r="39" spans="1:7" x14ac:dyDescent="0.25">
      <c r="A39">
        <v>38</v>
      </c>
      <c r="B39">
        <v>984</v>
      </c>
      <c r="C39">
        <v>14</v>
      </c>
      <c r="D39" s="2">
        <v>45561</v>
      </c>
      <c r="F39">
        <v>538.25</v>
      </c>
      <c r="G39">
        <v>2691.25</v>
      </c>
    </row>
    <row r="40" spans="1:7" x14ac:dyDescent="0.25">
      <c r="A40">
        <v>39</v>
      </c>
      <c r="B40">
        <v>873</v>
      </c>
      <c r="C40">
        <v>20</v>
      </c>
      <c r="D40" s="2">
        <v>45782</v>
      </c>
      <c r="F40">
        <v>755.68</v>
      </c>
      <c r="G40">
        <v>3778.4</v>
      </c>
    </row>
    <row r="41" spans="1:7" x14ac:dyDescent="0.25">
      <c r="A41">
        <v>40</v>
      </c>
      <c r="B41">
        <v>925</v>
      </c>
      <c r="C41">
        <v>35</v>
      </c>
      <c r="D41" s="2">
        <v>45426</v>
      </c>
      <c r="F41">
        <v>784.73</v>
      </c>
      <c r="G41">
        <v>3138.92</v>
      </c>
    </row>
    <row r="42" spans="1:7" x14ac:dyDescent="0.25">
      <c r="A42">
        <v>41</v>
      </c>
      <c r="B42">
        <v>969</v>
      </c>
      <c r="C42">
        <v>18</v>
      </c>
      <c r="D42" s="2">
        <v>45576</v>
      </c>
      <c r="F42">
        <v>230.16</v>
      </c>
      <c r="G42">
        <v>920.64</v>
      </c>
    </row>
    <row r="43" spans="1:7" x14ac:dyDescent="0.25">
      <c r="A43">
        <v>42</v>
      </c>
      <c r="B43">
        <v>961</v>
      </c>
      <c r="C43">
        <v>82</v>
      </c>
      <c r="D43" s="2">
        <v>45786</v>
      </c>
      <c r="F43">
        <v>182.03</v>
      </c>
      <c r="G43">
        <v>182.03</v>
      </c>
    </row>
    <row r="44" spans="1:7" x14ac:dyDescent="0.25">
      <c r="A44">
        <v>43</v>
      </c>
      <c r="B44">
        <v>948</v>
      </c>
      <c r="C44">
        <v>61</v>
      </c>
      <c r="D44" s="2">
        <v>45493</v>
      </c>
      <c r="F44">
        <v>780.59</v>
      </c>
      <c r="G44">
        <v>1561.18</v>
      </c>
    </row>
    <row r="45" spans="1:7" x14ac:dyDescent="0.25">
      <c r="A45">
        <v>44</v>
      </c>
      <c r="B45">
        <v>893</v>
      </c>
      <c r="C45">
        <v>65</v>
      </c>
      <c r="D45" s="2">
        <v>45505</v>
      </c>
      <c r="F45">
        <v>665.46</v>
      </c>
      <c r="G45">
        <v>1996.38</v>
      </c>
    </row>
    <row r="46" spans="1:7" x14ac:dyDescent="0.25">
      <c r="A46">
        <v>45</v>
      </c>
      <c r="B46">
        <v>929</v>
      </c>
      <c r="C46">
        <v>86</v>
      </c>
      <c r="D46" s="2">
        <v>45592</v>
      </c>
      <c r="F46">
        <v>971.41</v>
      </c>
      <c r="G46">
        <v>3885.64</v>
      </c>
    </row>
    <row r="47" spans="1:7" x14ac:dyDescent="0.25">
      <c r="A47">
        <v>46</v>
      </c>
      <c r="B47">
        <v>972</v>
      </c>
      <c r="C47">
        <v>54</v>
      </c>
      <c r="D47" s="2">
        <v>45602</v>
      </c>
      <c r="F47">
        <v>737.35</v>
      </c>
      <c r="G47">
        <v>737.35</v>
      </c>
    </row>
    <row r="48" spans="1:7" x14ac:dyDescent="0.25">
      <c r="A48">
        <v>47</v>
      </c>
      <c r="B48">
        <v>897</v>
      </c>
      <c r="C48">
        <v>43</v>
      </c>
      <c r="D48" s="2">
        <v>45507</v>
      </c>
      <c r="F48">
        <v>471.1</v>
      </c>
      <c r="G48">
        <v>2355.5</v>
      </c>
    </row>
    <row r="49" spans="1:7" x14ac:dyDescent="0.25">
      <c r="A49">
        <v>48</v>
      </c>
      <c r="B49">
        <v>873</v>
      </c>
      <c r="C49">
        <v>50</v>
      </c>
      <c r="D49" s="2">
        <v>45451</v>
      </c>
      <c r="F49">
        <v>280.94</v>
      </c>
      <c r="G49">
        <v>842.82</v>
      </c>
    </row>
    <row r="50" spans="1:7" x14ac:dyDescent="0.25">
      <c r="A50">
        <v>49</v>
      </c>
      <c r="B50">
        <v>811</v>
      </c>
      <c r="C50">
        <v>10</v>
      </c>
      <c r="D50" s="2">
        <v>45515</v>
      </c>
      <c r="F50">
        <v>978.51</v>
      </c>
      <c r="G50">
        <v>3914.04</v>
      </c>
    </row>
    <row r="51" spans="1:7" x14ac:dyDescent="0.25">
      <c r="A51">
        <v>50</v>
      </c>
      <c r="B51">
        <v>885</v>
      </c>
      <c r="C51">
        <v>83</v>
      </c>
      <c r="D51" s="2">
        <v>45446</v>
      </c>
      <c r="F51">
        <v>840.94</v>
      </c>
      <c r="G51">
        <v>2522.8200000000002</v>
      </c>
    </row>
    <row r="52" spans="1:7" x14ac:dyDescent="0.25">
      <c r="A52">
        <v>51</v>
      </c>
      <c r="B52">
        <v>841</v>
      </c>
      <c r="C52">
        <v>66</v>
      </c>
      <c r="D52" s="2">
        <v>45713</v>
      </c>
      <c r="F52">
        <v>660.35</v>
      </c>
      <c r="G52">
        <v>2641.4</v>
      </c>
    </row>
    <row r="53" spans="1:7" x14ac:dyDescent="0.25">
      <c r="A53">
        <v>52</v>
      </c>
      <c r="B53">
        <v>897</v>
      </c>
      <c r="C53">
        <v>53</v>
      </c>
      <c r="D53" s="2">
        <v>45612</v>
      </c>
      <c r="F53">
        <v>231.85</v>
      </c>
      <c r="G53">
        <v>463.7</v>
      </c>
    </row>
    <row r="54" spans="1:7" x14ac:dyDescent="0.25">
      <c r="A54">
        <v>53</v>
      </c>
      <c r="B54">
        <v>979</v>
      </c>
      <c r="C54">
        <v>97</v>
      </c>
      <c r="D54" s="2">
        <v>45681</v>
      </c>
      <c r="F54">
        <v>513.51</v>
      </c>
      <c r="G54">
        <v>1027.02</v>
      </c>
    </row>
    <row r="55" spans="1:7" x14ac:dyDescent="0.25">
      <c r="A55">
        <v>54</v>
      </c>
      <c r="B55">
        <v>873</v>
      </c>
      <c r="C55">
        <v>2</v>
      </c>
      <c r="D55" s="2">
        <v>45678</v>
      </c>
      <c r="F55">
        <v>684.11</v>
      </c>
      <c r="G55">
        <v>2052.33</v>
      </c>
    </row>
    <row r="56" spans="1:7" x14ac:dyDescent="0.25">
      <c r="A56">
        <v>55</v>
      </c>
      <c r="B56">
        <v>854</v>
      </c>
      <c r="C56">
        <v>42</v>
      </c>
      <c r="D56" s="2">
        <v>45672</v>
      </c>
      <c r="F56">
        <v>146.12</v>
      </c>
      <c r="G56">
        <v>584.48</v>
      </c>
    </row>
    <row r="57" spans="1:7" x14ac:dyDescent="0.25">
      <c r="A57">
        <v>56</v>
      </c>
      <c r="B57">
        <v>651</v>
      </c>
      <c r="C57">
        <v>92</v>
      </c>
      <c r="D57" s="2">
        <v>45533</v>
      </c>
      <c r="F57">
        <v>688.91</v>
      </c>
      <c r="G57">
        <v>3444.55</v>
      </c>
    </row>
    <row r="58" spans="1:7" x14ac:dyDescent="0.25">
      <c r="A58">
        <v>57</v>
      </c>
      <c r="B58">
        <v>972</v>
      </c>
      <c r="C58">
        <v>16</v>
      </c>
      <c r="D58" s="2">
        <v>45526</v>
      </c>
      <c r="F58">
        <v>817.21</v>
      </c>
      <c r="G58">
        <v>2451.63</v>
      </c>
    </row>
    <row r="59" spans="1:7" x14ac:dyDescent="0.25">
      <c r="A59">
        <v>58</v>
      </c>
      <c r="B59">
        <v>897</v>
      </c>
      <c r="C59">
        <v>88</v>
      </c>
      <c r="D59" s="2">
        <v>45610</v>
      </c>
      <c r="F59">
        <v>335.65</v>
      </c>
      <c r="G59">
        <v>335.65</v>
      </c>
    </row>
    <row r="60" spans="1:7" x14ac:dyDescent="0.25">
      <c r="A60">
        <v>59</v>
      </c>
      <c r="B60">
        <v>873</v>
      </c>
      <c r="C60">
        <v>49</v>
      </c>
      <c r="D60" s="2">
        <v>45551</v>
      </c>
      <c r="F60">
        <v>483.33</v>
      </c>
      <c r="G60">
        <v>1933.32</v>
      </c>
    </row>
    <row r="61" spans="1:7" x14ac:dyDescent="0.25">
      <c r="A61">
        <v>60</v>
      </c>
      <c r="B61">
        <v>973</v>
      </c>
      <c r="C61">
        <v>84</v>
      </c>
      <c r="D61" s="2">
        <v>45661</v>
      </c>
      <c r="F61">
        <v>95.17</v>
      </c>
      <c r="G61">
        <v>475.85</v>
      </c>
    </row>
    <row r="62" spans="1:7" x14ac:dyDescent="0.25">
      <c r="A62">
        <v>61</v>
      </c>
      <c r="B62">
        <v>922</v>
      </c>
      <c r="C62">
        <v>96</v>
      </c>
      <c r="D62" s="2">
        <v>45461</v>
      </c>
      <c r="F62">
        <v>459.4</v>
      </c>
      <c r="G62">
        <v>1837.6</v>
      </c>
    </row>
    <row r="63" spans="1:7" x14ac:dyDescent="0.25">
      <c r="A63">
        <v>62</v>
      </c>
      <c r="B63">
        <v>907</v>
      </c>
      <c r="C63">
        <v>96</v>
      </c>
      <c r="D63" s="2">
        <v>45517</v>
      </c>
      <c r="F63">
        <v>296.10000000000002</v>
      </c>
      <c r="G63">
        <v>296.10000000000002</v>
      </c>
    </row>
    <row r="64" spans="1:7" x14ac:dyDescent="0.25">
      <c r="A64">
        <v>63</v>
      </c>
      <c r="B64">
        <v>651</v>
      </c>
      <c r="C64">
        <v>16</v>
      </c>
      <c r="D64" s="2">
        <v>45512</v>
      </c>
      <c r="F64">
        <v>457.42</v>
      </c>
      <c r="G64">
        <v>1372.26</v>
      </c>
    </row>
    <row r="65" spans="1:7" x14ac:dyDescent="0.25">
      <c r="A65">
        <v>64</v>
      </c>
      <c r="B65">
        <v>854</v>
      </c>
      <c r="C65">
        <v>16</v>
      </c>
      <c r="D65" s="2">
        <v>45467</v>
      </c>
      <c r="F65">
        <v>624.5</v>
      </c>
      <c r="G65">
        <v>2498</v>
      </c>
    </row>
    <row r="66" spans="1:7" x14ac:dyDescent="0.25">
      <c r="A66">
        <v>65</v>
      </c>
      <c r="B66">
        <v>941</v>
      </c>
      <c r="C66">
        <v>100</v>
      </c>
      <c r="D66" s="2">
        <v>45433</v>
      </c>
      <c r="F66">
        <v>687.54</v>
      </c>
      <c r="G66">
        <v>3437.7</v>
      </c>
    </row>
    <row r="67" spans="1:7" x14ac:dyDescent="0.25">
      <c r="A67">
        <v>66</v>
      </c>
      <c r="B67">
        <v>453</v>
      </c>
      <c r="C67">
        <v>35</v>
      </c>
      <c r="D67" s="2">
        <v>45640</v>
      </c>
      <c r="F67">
        <v>598.23</v>
      </c>
      <c r="G67">
        <v>598.23</v>
      </c>
    </row>
    <row r="68" spans="1:7" x14ac:dyDescent="0.25">
      <c r="A68">
        <v>67</v>
      </c>
      <c r="B68">
        <v>988</v>
      </c>
      <c r="C68">
        <v>64</v>
      </c>
      <c r="D68" s="2">
        <v>45504</v>
      </c>
      <c r="F68">
        <v>770.7</v>
      </c>
      <c r="G68">
        <v>3853.5</v>
      </c>
    </row>
    <row r="69" spans="1:7" x14ac:dyDescent="0.25">
      <c r="A69">
        <v>68</v>
      </c>
      <c r="B69">
        <v>907</v>
      </c>
      <c r="C69">
        <v>24</v>
      </c>
      <c r="D69" s="2">
        <v>45497</v>
      </c>
      <c r="F69">
        <v>801.3</v>
      </c>
      <c r="G69">
        <v>4006.5</v>
      </c>
    </row>
    <row r="70" spans="1:7" x14ac:dyDescent="0.25">
      <c r="A70">
        <v>69</v>
      </c>
      <c r="B70">
        <v>821</v>
      </c>
      <c r="C70">
        <v>99</v>
      </c>
      <c r="D70" s="2">
        <v>45557</v>
      </c>
      <c r="F70">
        <v>279.64</v>
      </c>
      <c r="G70">
        <v>1398.2</v>
      </c>
    </row>
    <row r="71" spans="1:7" x14ac:dyDescent="0.25">
      <c r="A71">
        <v>70</v>
      </c>
      <c r="B71">
        <v>990</v>
      </c>
      <c r="C71">
        <v>57</v>
      </c>
      <c r="D71" s="2">
        <v>45510</v>
      </c>
      <c r="F71">
        <v>878.86</v>
      </c>
      <c r="G71">
        <v>1757.72</v>
      </c>
    </row>
    <row r="72" spans="1:7" x14ac:dyDescent="0.25">
      <c r="A72">
        <v>71</v>
      </c>
      <c r="B72">
        <v>798</v>
      </c>
      <c r="C72">
        <v>97</v>
      </c>
      <c r="D72" s="2">
        <v>45517</v>
      </c>
      <c r="F72">
        <v>599.1</v>
      </c>
      <c r="G72">
        <v>1198.2</v>
      </c>
    </row>
    <row r="73" spans="1:7" x14ac:dyDescent="0.25">
      <c r="A73">
        <v>72</v>
      </c>
      <c r="B73">
        <v>890</v>
      </c>
      <c r="C73">
        <v>94</v>
      </c>
      <c r="D73" s="2">
        <v>45485</v>
      </c>
      <c r="F73">
        <v>337.92</v>
      </c>
      <c r="G73">
        <v>337.92</v>
      </c>
    </row>
    <row r="74" spans="1:7" x14ac:dyDescent="0.25">
      <c r="A74">
        <v>73</v>
      </c>
      <c r="B74">
        <v>975</v>
      </c>
      <c r="C74">
        <v>37</v>
      </c>
      <c r="D74" s="2">
        <v>45641</v>
      </c>
      <c r="F74">
        <v>665.54</v>
      </c>
      <c r="G74">
        <v>2662.16</v>
      </c>
    </row>
    <row r="75" spans="1:7" x14ac:dyDescent="0.25">
      <c r="A75">
        <v>74</v>
      </c>
      <c r="B75">
        <v>929</v>
      </c>
      <c r="C75">
        <v>5</v>
      </c>
      <c r="D75" s="2">
        <v>45599</v>
      </c>
      <c r="F75">
        <v>737.48</v>
      </c>
      <c r="G75">
        <v>3687.4</v>
      </c>
    </row>
    <row r="76" spans="1:7" x14ac:dyDescent="0.25">
      <c r="A76">
        <v>75</v>
      </c>
      <c r="B76">
        <v>994</v>
      </c>
      <c r="C76">
        <v>43</v>
      </c>
      <c r="D76" s="2">
        <v>45755</v>
      </c>
      <c r="F76">
        <v>181.53</v>
      </c>
      <c r="G76">
        <v>181.53</v>
      </c>
    </row>
    <row r="77" spans="1:7" x14ac:dyDescent="0.25">
      <c r="A77">
        <v>76</v>
      </c>
      <c r="B77">
        <v>821</v>
      </c>
      <c r="C77">
        <v>50</v>
      </c>
      <c r="D77" s="2">
        <v>45634</v>
      </c>
      <c r="F77">
        <v>746.76</v>
      </c>
      <c r="G77">
        <v>2987.04</v>
      </c>
    </row>
    <row r="78" spans="1:7" x14ac:dyDescent="0.25">
      <c r="A78">
        <v>77</v>
      </c>
      <c r="B78">
        <v>784</v>
      </c>
      <c r="C78">
        <v>19</v>
      </c>
      <c r="D78" s="2">
        <v>45554</v>
      </c>
      <c r="F78">
        <v>258.87</v>
      </c>
      <c r="G78">
        <v>258.87</v>
      </c>
    </row>
    <row r="79" spans="1:7" x14ac:dyDescent="0.25">
      <c r="A79">
        <v>78</v>
      </c>
      <c r="B79">
        <v>990</v>
      </c>
      <c r="C79">
        <v>60</v>
      </c>
      <c r="D79" s="2">
        <v>45456</v>
      </c>
      <c r="F79">
        <v>734.68</v>
      </c>
      <c r="G79">
        <v>734.68</v>
      </c>
    </row>
    <row r="80" spans="1:7" x14ac:dyDescent="0.25">
      <c r="A80">
        <v>79</v>
      </c>
      <c r="B80">
        <v>821</v>
      </c>
      <c r="C80">
        <v>68</v>
      </c>
      <c r="D80" s="2">
        <v>45604</v>
      </c>
      <c r="F80">
        <v>760.78</v>
      </c>
      <c r="G80">
        <v>2282.34</v>
      </c>
    </row>
    <row r="81" spans="1:7" x14ac:dyDescent="0.25">
      <c r="A81">
        <v>80</v>
      </c>
      <c r="B81">
        <v>938</v>
      </c>
      <c r="C81">
        <v>43</v>
      </c>
      <c r="D81" s="2">
        <v>45686</v>
      </c>
      <c r="F81">
        <v>811.26</v>
      </c>
      <c r="G81">
        <v>811.26</v>
      </c>
    </row>
    <row r="82" spans="1:7" x14ac:dyDescent="0.25">
      <c r="A82">
        <v>81</v>
      </c>
      <c r="B82">
        <v>947</v>
      </c>
      <c r="C82">
        <v>65</v>
      </c>
      <c r="D82" s="2">
        <v>45545</v>
      </c>
      <c r="F82">
        <v>585.03</v>
      </c>
      <c r="G82">
        <v>1755.09</v>
      </c>
    </row>
    <row r="83" spans="1:7" x14ac:dyDescent="0.25">
      <c r="A83">
        <v>82</v>
      </c>
      <c r="B83">
        <v>948</v>
      </c>
      <c r="C83">
        <v>88</v>
      </c>
      <c r="D83" s="2">
        <v>45784</v>
      </c>
      <c r="F83">
        <v>548.54</v>
      </c>
      <c r="G83">
        <v>2194.16</v>
      </c>
    </row>
    <row r="84" spans="1:7" x14ac:dyDescent="0.25">
      <c r="A84">
        <v>83</v>
      </c>
      <c r="B84">
        <v>926</v>
      </c>
      <c r="C84">
        <v>70</v>
      </c>
      <c r="D84" s="2">
        <v>45694</v>
      </c>
      <c r="F84">
        <v>504.44</v>
      </c>
      <c r="G84">
        <v>1513.32</v>
      </c>
    </row>
    <row r="85" spans="1:7" x14ac:dyDescent="0.25">
      <c r="A85">
        <v>84</v>
      </c>
      <c r="B85">
        <v>881</v>
      </c>
      <c r="C85">
        <v>67</v>
      </c>
      <c r="D85" s="2">
        <v>45587</v>
      </c>
      <c r="F85">
        <v>728.11</v>
      </c>
      <c r="G85">
        <v>2184.33</v>
      </c>
    </row>
    <row r="86" spans="1:7" x14ac:dyDescent="0.25">
      <c r="A86">
        <v>85</v>
      </c>
      <c r="B86">
        <v>897</v>
      </c>
      <c r="C86">
        <v>87</v>
      </c>
      <c r="D86" s="2">
        <v>45619</v>
      </c>
      <c r="F86">
        <v>206.01</v>
      </c>
      <c r="G86">
        <v>824.04</v>
      </c>
    </row>
    <row r="87" spans="1:7" x14ac:dyDescent="0.25">
      <c r="A87">
        <v>86</v>
      </c>
      <c r="B87">
        <v>977</v>
      </c>
      <c r="C87">
        <v>23</v>
      </c>
      <c r="D87" s="2">
        <v>45572</v>
      </c>
      <c r="F87">
        <v>132.85</v>
      </c>
      <c r="G87">
        <v>132.85</v>
      </c>
    </row>
    <row r="88" spans="1:7" x14ac:dyDescent="0.25">
      <c r="A88">
        <v>87</v>
      </c>
      <c r="B88">
        <v>922</v>
      </c>
      <c r="C88">
        <v>13</v>
      </c>
      <c r="D88" s="2">
        <v>45589</v>
      </c>
      <c r="F88">
        <v>538.79</v>
      </c>
      <c r="G88">
        <v>538.79</v>
      </c>
    </row>
    <row r="89" spans="1:7" x14ac:dyDescent="0.25">
      <c r="A89">
        <v>88</v>
      </c>
      <c r="B89">
        <v>982</v>
      </c>
      <c r="C89">
        <v>93</v>
      </c>
      <c r="D89" s="2">
        <v>45561</v>
      </c>
      <c r="F89">
        <v>273.45</v>
      </c>
      <c r="G89">
        <v>273.45</v>
      </c>
    </row>
    <row r="90" spans="1:7" x14ac:dyDescent="0.25">
      <c r="A90">
        <v>89</v>
      </c>
      <c r="B90">
        <v>769</v>
      </c>
      <c r="C90">
        <v>30</v>
      </c>
      <c r="D90" s="2">
        <v>45526</v>
      </c>
      <c r="F90">
        <v>499.96</v>
      </c>
      <c r="G90">
        <v>999.92</v>
      </c>
    </row>
    <row r="91" spans="1:7" x14ac:dyDescent="0.25">
      <c r="A91">
        <v>90</v>
      </c>
      <c r="B91">
        <v>886</v>
      </c>
      <c r="C91">
        <v>21</v>
      </c>
      <c r="D91" s="2">
        <v>45567</v>
      </c>
      <c r="F91">
        <v>46.5</v>
      </c>
      <c r="G91">
        <v>232.5</v>
      </c>
    </row>
    <row r="92" spans="1:7" x14ac:dyDescent="0.25">
      <c r="A92">
        <v>91</v>
      </c>
      <c r="B92">
        <v>908</v>
      </c>
      <c r="C92">
        <v>10</v>
      </c>
      <c r="D92" s="2">
        <v>45553</v>
      </c>
      <c r="F92">
        <v>539.05999999999995</v>
      </c>
      <c r="G92">
        <v>539.05999999999995</v>
      </c>
    </row>
    <row r="93" spans="1:7" x14ac:dyDescent="0.25">
      <c r="A93">
        <v>92</v>
      </c>
      <c r="B93">
        <v>956</v>
      </c>
      <c r="C93">
        <v>34</v>
      </c>
      <c r="D93" s="2">
        <v>45502</v>
      </c>
      <c r="F93">
        <v>231.44</v>
      </c>
      <c r="G93">
        <v>925.76</v>
      </c>
    </row>
    <row r="94" spans="1:7" x14ac:dyDescent="0.25">
      <c r="A94">
        <v>93</v>
      </c>
      <c r="B94">
        <v>934</v>
      </c>
      <c r="C94">
        <v>62</v>
      </c>
      <c r="D94" s="2">
        <v>45463</v>
      </c>
      <c r="F94">
        <v>25.32</v>
      </c>
      <c r="G94">
        <v>50.64</v>
      </c>
    </row>
    <row r="95" spans="1:7" x14ac:dyDescent="0.25">
      <c r="A95">
        <v>94</v>
      </c>
      <c r="B95">
        <v>786</v>
      </c>
      <c r="C95">
        <v>83</v>
      </c>
      <c r="D95" s="2">
        <v>45602</v>
      </c>
      <c r="F95">
        <v>484.94</v>
      </c>
      <c r="G95">
        <v>1939.76</v>
      </c>
    </row>
    <row r="96" spans="1:7" x14ac:dyDescent="0.25">
      <c r="A96">
        <v>95</v>
      </c>
      <c r="B96">
        <v>651</v>
      </c>
      <c r="C96">
        <v>90</v>
      </c>
      <c r="D96" s="2">
        <v>45489</v>
      </c>
      <c r="F96">
        <v>814.61</v>
      </c>
      <c r="G96">
        <v>2443.83</v>
      </c>
    </row>
    <row r="97" spans="1:7" x14ac:dyDescent="0.25">
      <c r="A97">
        <v>96</v>
      </c>
      <c r="B97">
        <v>991</v>
      </c>
      <c r="C97">
        <v>14</v>
      </c>
      <c r="D97" s="2">
        <v>45698</v>
      </c>
      <c r="F97">
        <v>400.41</v>
      </c>
      <c r="G97">
        <v>1201.23</v>
      </c>
    </row>
    <row r="98" spans="1:7" x14ac:dyDescent="0.25">
      <c r="A98">
        <v>97</v>
      </c>
      <c r="B98">
        <v>974</v>
      </c>
      <c r="C98">
        <v>80</v>
      </c>
      <c r="D98" s="2">
        <v>45636</v>
      </c>
      <c r="F98">
        <v>377.6</v>
      </c>
      <c r="G98">
        <v>1888</v>
      </c>
    </row>
    <row r="99" spans="1:7" x14ac:dyDescent="0.25">
      <c r="A99">
        <v>98</v>
      </c>
      <c r="B99">
        <v>651</v>
      </c>
      <c r="C99">
        <v>46</v>
      </c>
      <c r="D99" s="2">
        <v>45638</v>
      </c>
      <c r="F99">
        <v>322.63</v>
      </c>
      <c r="G99">
        <v>645.26</v>
      </c>
    </row>
    <row r="100" spans="1:7" x14ac:dyDescent="0.25">
      <c r="A100">
        <v>99</v>
      </c>
      <c r="B100">
        <v>881</v>
      </c>
      <c r="C100">
        <v>43</v>
      </c>
      <c r="D100" s="2">
        <v>45461</v>
      </c>
      <c r="F100">
        <v>148.6</v>
      </c>
      <c r="G100">
        <v>148.6</v>
      </c>
    </row>
    <row r="101" spans="1:7" x14ac:dyDescent="0.25">
      <c r="A101">
        <v>100</v>
      </c>
      <c r="B101">
        <v>841</v>
      </c>
      <c r="C101">
        <v>2</v>
      </c>
      <c r="D101" s="2">
        <v>45678</v>
      </c>
      <c r="F101">
        <v>158.27000000000001</v>
      </c>
      <c r="G101">
        <v>791.35</v>
      </c>
    </row>
    <row r="102" spans="1:7" x14ac:dyDescent="0.25">
      <c r="A102">
        <v>101</v>
      </c>
      <c r="B102">
        <v>939</v>
      </c>
      <c r="C102">
        <v>13</v>
      </c>
      <c r="D102" s="2">
        <v>45755</v>
      </c>
      <c r="F102">
        <v>924.07</v>
      </c>
      <c r="G102">
        <v>1848.14</v>
      </c>
    </row>
    <row r="103" spans="1:7" x14ac:dyDescent="0.25">
      <c r="A103">
        <v>102</v>
      </c>
      <c r="B103">
        <v>967</v>
      </c>
      <c r="C103">
        <v>48</v>
      </c>
      <c r="D103" s="2">
        <v>45761</v>
      </c>
      <c r="F103">
        <v>270.18</v>
      </c>
      <c r="G103">
        <v>1080.72</v>
      </c>
    </row>
    <row r="104" spans="1:7" x14ac:dyDescent="0.25">
      <c r="A104">
        <v>103</v>
      </c>
      <c r="B104">
        <v>983</v>
      </c>
      <c r="C104">
        <v>75</v>
      </c>
      <c r="D104" s="2">
        <v>45509</v>
      </c>
      <c r="F104">
        <v>645.88</v>
      </c>
      <c r="G104">
        <v>3229.4</v>
      </c>
    </row>
    <row r="105" spans="1:7" x14ac:dyDescent="0.25">
      <c r="A105">
        <v>104</v>
      </c>
      <c r="B105">
        <v>991</v>
      </c>
      <c r="C105">
        <v>44</v>
      </c>
      <c r="D105" s="2">
        <v>45502</v>
      </c>
      <c r="F105">
        <v>589.29999999999995</v>
      </c>
      <c r="G105">
        <v>1178.5999999999999</v>
      </c>
    </row>
    <row r="106" spans="1:7" x14ac:dyDescent="0.25">
      <c r="A106">
        <v>105</v>
      </c>
      <c r="B106">
        <v>901</v>
      </c>
      <c r="C106">
        <v>20</v>
      </c>
      <c r="D106" s="2">
        <v>45776</v>
      </c>
      <c r="F106">
        <v>381.81</v>
      </c>
      <c r="G106">
        <v>763.62</v>
      </c>
    </row>
    <row r="107" spans="1:7" x14ac:dyDescent="0.25">
      <c r="A107">
        <v>106</v>
      </c>
      <c r="B107">
        <v>784</v>
      </c>
      <c r="C107">
        <v>14</v>
      </c>
      <c r="D107" s="2">
        <v>45446</v>
      </c>
      <c r="F107">
        <v>660.22</v>
      </c>
      <c r="G107">
        <v>660.22</v>
      </c>
    </row>
    <row r="108" spans="1:7" x14ac:dyDescent="0.25">
      <c r="A108">
        <v>107</v>
      </c>
      <c r="B108">
        <v>926</v>
      </c>
      <c r="C108">
        <v>48</v>
      </c>
      <c r="D108" s="2">
        <v>45689</v>
      </c>
      <c r="F108">
        <v>432.87</v>
      </c>
      <c r="G108">
        <v>1298.6099999999999</v>
      </c>
    </row>
    <row r="109" spans="1:7" x14ac:dyDescent="0.25">
      <c r="A109">
        <v>108</v>
      </c>
      <c r="B109">
        <v>901</v>
      </c>
      <c r="C109">
        <v>83</v>
      </c>
      <c r="D109" s="2">
        <v>45639</v>
      </c>
      <c r="F109">
        <v>626.17999999999995</v>
      </c>
      <c r="G109">
        <v>2504.7199999999998</v>
      </c>
    </row>
    <row r="110" spans="1:7" x14ac:dyDescent="0.25">
      <c r="A110">
        <v>109</v>
      </c>
      <c r="B110">
        <v>936</v>
      </c>
      <c r="C110">
        <v>55</v>
      </c>
      <c r="D110" s="2">
        <v>45680</v>
      </c>
      <c r="F110">
        <v>103.51</v>
      </c>
      <c r="G110">
        <v>103.51</v>
      </c>
    </row>
    <row r="111" spans="1:7" x14ac:dyDescent="0.25">
      <c r="A111">
        <v>110</v>
      </c>
      <c r="B111">
        <v>993</v>
      </c>
      <c r="C111">
        <v>80</v>
      </c>
      <c r="D111" s="2">
        <v>45574</v>
      </c>
      <c r="F111">
        <v>23.58</v>
      </c>
      <c r="G111">
        <v>117.9</v>
      </c>
    </row>
    <row r="112" spans="1:7" x14ac:dyDescent="0.25">
      <c r="A112">
        <v>111</v>
      </c>
      <c r="B112">
        <v>997</v>
      </c>
      <c r="C112">
        <v>83</v>
      </c>
      <c r="D112" s="2">
        <v>45473</v>
      </c>
      <c r="F112">
        <v>825.14</v>
      </c>
      <c r="G112">
        <v>2475.42</v>
      </c>
    </row>
    <row r="113" spans="1:7" x14ac:dyDescent="0.25">
      <c r="A113">
        <v>112</v>
      </c>
      <c r="B113">
        <v>854</v>
      </c>
      <c r="C113">
        <v>77</v>
      </c>
      <c r="D113" s="2">
        <v>45764</v>
      </c>
      <c r="F113">
        <v>722.94</v>
      </c>
      <c r="G113">
        <v>2168.8200000000002</v>
      </c>
    </row>
    <row r="114" spans="1:7" x14ac:dyDescent="0.25">
      <c r="A114">
        <v>113</v>
      </c>
      <c r="B114">
        <v>938</v>
      </c>
      <c r="C114">
        <v>93</v>
      </c>
      <c r="D114" s="2">
        <v>45537</v>
      </c>
      <c r="F114">
        <v>12.66</v>
      </c>
      <c r="G114">
        <v>63.3</v>
      </c>
    </row>
    <row r="115" spans="1:7" x14ac:dyDescent="0.25">
      <c r="A115">
        <v>114</v>
      </c>
      <c r="B115">
        <v>922</v>
      </c>
      <c r="C115">
        <v>71</v>
      </c>
      <c r="D115" s="2">
        <v>45643</v>
      </c>
      <c r="F115">
        <v>372.71</v>
      </c>
      <c r="G115">
        <v>1118.1300000000001</v>
      </c>
    </row>
    <row r="116" spans="1:7" x14ac:dyDescent="0.25">
      <c r="A116">
        <v>115</v>
      </c>
      <c r="B116">
        <v>951</v>
      </c>
      <c r="C116">
        <v>24</v>
      </c>
      <c r="D116" s="2">
        <v>45638</v>
      </c>
      <c r="F116">
        <v>668.12</v>
      </c>
      <c r="G116">
        <v>1336.24</v>
      </c>
    </row>
    <row r="117" spans="1:7" x14ac:dyDescent="0.25">
      <c r="A117">
        <v>116</v>
      </c>
      <c r="B117">
        <v>964</v>
      </c>
      <c r="C117">
        <v>5</v>
      </c>
      <c r="D117" s="2">
        <v>45663</v>
      </c>
      <c r="F117">
        <v>170.39</v>
      </c>
      <c r="G117">
        <v>511.17</v>
      </c>
    </row>
    <row r="118" spans="1:7" x14ac:dyDescent="0.25">
      <c r="A118">
        <v>117</v>
      </c>
      <c r="B118">
        <v>928</v>
      </c>
      <c r="C118">
        <v>43</v>
      </c>
      <c r="D118" s="2">
        <v>45500</v>
      </c>
      <c r="F118">
        <v>67.13</v>
      </c>
      <c r="G118">
        <v>67.13</v>
      </c>
    </row>
    <row r="119" spans="1:7" x14ac:dyDescent="0.25">
      <c r="A119">
        <v>118</v>
      </c>
      <c r="B119">
        <v>984</v>
      </c>
      <c r="C119">
        <v>96</v>
      </c>
      <c r="D119" s="2">
        <v>45743</v>
      </c>
      <c r="F119">
        <v>568.48</v>
      </c>
      <c r="G119">
        <v>2273.92</v>
      </c>
    </row>
    <row r="120" spans="1:7" x14ac:dyDescent="0.25">
      <c r="A120">
        <v>119</v>
      </c>
      <c r="B120">
        <v>995</v>
      </c>
      <c r="C120">
        <v>55</v>
      </c>
      <c r="D120" s="2">
        <v>45764</v>
      </c>
      <c r="F120">
        <v>428.17</v>
      </c>
      <c r="G120">
        <v>2140.85</v>
      </c>
    </row>
    <row r="121" spans="1:7" x14ac:dyDescent="0.25">
      <c r="A121">
        <v>120</v>
      </c>
      <c r="B121">
        <v>913</v>
      </c>
      <c r="C121">
        <v>94</v>
      </c>
      <c r="D121" s="2">
        <v>45733</v>
      </c>
      <c r="F121">
        <v>789.04</v>
      </c>
      <c r="G121">
        <v>3945.2</v>
      </c>
    </row>
    <row r="122" spans="1:7" x14ac:dyDescent="0.25">
      <c r="A122">
        <v>121</v>
      </c>
      <c r="B122">
        <v>685</v>
      </c>
      <c r="C122">
        <v>63</v>
      </c>
      <c r="D122" s="2">
        <v>45789</v>
      </c>
      <c r="F122">
        <v>369.2</v>
      </c>
      <c r="G122">
        <v>1107.5999999999999</v>
      </c>
    </row>
    <row r="123" spans="1:7" x14ac:dyDescent="0.25">
      <c r="A123">
        <v>122</v>
      </c>
      <c r="B123">
        <v>885</v>
      </c>
      <c r="C123">
        <v>22</v>
      </c>
      <c r="D123" s="2">
        <v>45559</v>
      </c>
      <c r="F123">
        <v>116</v>
      </c>
      <c r="G123">
        <v>348</v>
      </c>
    </row>
    <row r="124" spans="1:7" x14ac:dyDescent="0.25">
      <c r="A124">
        <v>123</v>
      </c>
      <c r="B124">
        <v>928</v>
      </c>
      <c r="C124">
        <v>68</v>
      </c>
      <c r="D124" s="2">
        <v>45433</v>
      </c>
      <c r="F124">
        <v>899.33</v>
      </c>
      <c r="G124">
        <v>899.33</v>
      </c>
    </row>
    <row r="125" spans="1:7" x14ac:dyDescent="0.25">
      <c r="A125">
        <v>124</v>
      </c>
      <c r="B125">
        <v>695</v>
      </c>
      <c r="C125">
        <v>80</v>
      </c>
      <c r="D125" s="2">
        <v>45527</v>
      </c>
      <c r="F125">
        <v>697.8</v>
      </c>
      <c r="G125">
        <v>2791.2</v>
      </c>
    </row>
    <row r="126" spans="1:7" x14ac:dyDescent="0.25">
      <c r="A126">
        <v>125</v>
      </c>
      <c r="B126">
        <v>957</v>
      </c>
      <c r="C126">
        <v>92</v>
      </c>
      <c r="D126" s="2">
        <v>45629</v>
      </c>
      <c r="F126">
        <v>63.54</v>
      </c>
      <c r="G126">
        <v>190.62</v>
      </c>
    </row>
    <row r="127" spans="1:7" x14ac:dyDescent="0.25">
      <c r="A127">
        <v>126</v>
      </c>
      <c r="B127">
        <v>909</v>
      </c>
      <c r="C127">
        <v>19</v>
      </c>
      <c r="D127" s="2">
        <v>45664</v>
      </c>
      <c r="F127">
        <v>322.08999999999997</v>
      </c>
      <c r="G127">
        <v>966.27</v>
      </c>
    </row>
    <row r="128" spans="1:7" x14ac:dyDescent="0.25">
      <c r="A128">
        <v>127</v>
      </c>
      <c r="B128">
        <v>980</v>
      </c>
      <c r="C128">
        <v>11</v>
      </c>
      <c r="D128" s="2">
        <v>45471</v>
      </c>
      <c r="F128">
        <v>391.41</v>
      </c>
      <c r="G128">
        <v>391.41</v>
      </c>
    </row>
    <row r="129" spans="1:7" x14ac:dyDescent="0.25">
      <c r="A129">
        <v>128</v>
      </c>
      <c r="B129">
        <v>983</v>
      </c>
      <c r="C129">
        <v>54</v>
      </c>
      <c r="D129" s="2">
        <v>45728</v>
      </c>
      <c r="F129">
        <v>540.92999999999995</v>
      </c>
      <c r="G129">
        <v>1622.79</v>
      </c>
    </row>
    <row r="130" spans="1:7" x14ac:dyDescent="0.25">
      <c r="A130">
        <v>129</v>
      </c>
      <c r="B130">
        <v>951</v>
      </c>
      <c r="C130">
        <v>27</v>
      </c>
      <c r="D130" s="2">
        <v>45607</v>
      </c>
      <c r="F130">
        <v>871.25</v>
      </c>
      <c r="G130">
        <v>1742.5</v>
      </c>
    </row>
    <row r="131" spans="1:7" x14ac:dyDescent="0.25">
      <c r="A131">
        <v>130</v>
      </c>
      <c r="B131">
        <v>705</v>
      </c>
      <c r="C131">
        <v>41</v>
      </c>
      <c r="D131" s="2">
        <v>45644</v>
      </c>
      <c r="F131">
        <v>971.05</v>
      </c>
      <c r="G131">
        <v>3884.2</v>
      </c>
    </row>
    <row r="132" spans="1:7" x14ac:dyDescent="0.25">
      <c r="A132">
        <v>131</v>
      </c>
      <c r="B132">
        <v>963</v>
      </c>
      <c r="C132">
        <v>76</v>
      </c>
      <c r="D132" s="2">
        <v>45434</v>
      </c>
      <c r="F132">
        <v>323.20999999999998</v>
      </c>
      <c r="G132">
        <v>969.63</v>
      </c>
    </row>
    <row r="133" spans="1:7" x14ac:dyDescent="0.25">
      <c r="A133">
        <v>132</v>
      </c>
      <c r="B133">
        <v>996</v>
      </c>
      <c r="C133">
        <v>35</v>
      </c>
      <c r="D133" s="2">
        <v>45548</v>
      </c>
      <c r="F133">
        <v>390.17</v>
      </c>
      <c r="G133">
        <v>780.34</v>
      </c>
    </row>
    <row r="134" spans="1:7" x14ac:dyDescent="0.25">
      <c r="A134">
        <v>133</v>
      </c>
      <c r="B134">
        <v>964</v>
      </c>
      <c r="C134">
        <v>5</v>
      </c>
      <c r="D134" s="2">
        <v>45488</v>
      </c>
      <c r="F134">
        <v>327.62</v>
      </c>
      <c r="G134">
        <v>1638.1</v>
      </c>
    </row>
    <row r="135" spans="1:7" x14ac:dyDescent="0.25">
      <c r="A135">
        <v>134</v>
      </c>
      <c r="B135">
        <v>893</v>
      </c>
      <c r="C135">
        <v>61</v>
      </c>
      <c r="D135" s="2">
        <v>45457</v>
      </c>
      <c r="F135">
        <v>902.27</v>
      </c>
      <c r="G135">
        <v>902.27</v>
      </c>
    </row>
    <row r="136" spans="1:7" x14ac:dyDescent="0.25">
      <c r="A136">
        <v>135</v>
      </c>
      <c r="B136">
        <v>925</v>
      </c>
      <c r="C136">
        <v>29</v>
      </c>
      <c r="D136" s="2">
        <v>45629</v>
      </c>
      <c r="F136">
        <v>886.1</v>
      </c>
      <c r="G136">
        <v>4430.5</v>
      </c>
    </row>
    <row r="137" spans="1:7" x14ac:dyDescent="0.25">
      <c r="A137">
        <v>136</v>
      </c>
      <c r="B137">
        <v>991</v>
      </c>
      <c r="C137">
        <v>26</v>
      </c>
      <c r="D137" s="2">
        <v>45667</v>
      </c>
      <c r="F137">
        <v>291.74</v>
      </c>
      <c r="G137">
        <v>583.48</v>
      </c>
    </row>
    <row r="138" spans="1:7" x14ac:dyDescent="0.25">
      <c r="A138">
        <v>137</v>
      </c>
      <c r="B138">
        <v>812</v>
      </c>
      <c r="C138">
        <v>96</v>
      </c>
      <c r="D138" s="2">
        <v>45520</v>
      </c>
      <c r="F138">
        <v>378.08</v>
      </c>
      <c r="G138">
        <v>378.08</v>
      </c>
    </row>
    <row r="139" spans="1:7" x14ac:dyDescent="0.25">
      <c r="A139">
        <v>138</v>
      </c>
      <c r="B139">
        <v>453</v>
      </c>
      <c r="C139">
        <v>22</v>
      </c>
      <c r="D139" s="2">
        <v>45543</v>
      </c>
      <c r="F139">
        <v>613.57000000000005</v>
      </c>
      <c r="G139">
        <v>1227.1400000000001</v>
      </c>
    </row>
    <row r="140" spans="1:7" x14ac:dyDescent="0.25">
      <c r="A140">
        <v>139</v>
      </c>
      <c r="B140">
        <v>939</v>
      </c>
      <c r="C140">
        <v>84</v>
      </c>
      <c r="D140" s="2">
        <v>45692</v>
      </c>
      <c r="F140">
        <v>945.84</v>
      </c>
      <c r="G140">
        <v>4729.2</v>
      </c>
    </row>
    <row r="141" spans="1:7" x14ac:dyDescent="0.25">
      <c r="A141">
        <v>140</v>
      </c>
      <c r="B141">
        <v>969</v>
      </c>
      <c r="C141">
        <v>27</v>
      </c>
      <c r="D141" s="2">
        <v>45462</v>
      </c>
      <c r="F141">
        <v>683.43</v>
      </c>
      <c r="G141">
        <v>683.43</v>
      </c>
    </row>
    <row r="142" spans="1:7" x14ac:dyDescent="0.25">
      <c r="A142">
        <v>141</v>
      </c>
      <c r="B142">
        <v>940</v>
      </c>
      <c r="C142">
        <v>73</v>
      </c>
      <c r="D142" s="2">
        <v>45583</v>
      </c>
      <c r="F142">
        <v>927.96</v>
      </c>
      <c r="G142">
        <v>4639.8</v>
      </c>
    </row>
    <row r="143" spans="1:7" x14ac:dyDescent="0.25">
      <c r="A143">
        <v>142</v>
      </c>
      <c r="B143">
        <v>626</v>
      </c>
      <c r="C143">
        <v>28</v>
      </c>
      <c r="D143" s="2">
        <v>45761</v>
      </c>
      <c r="F143">
        <v>373.31</v>
      </c>
      <c r="G143">
        <v>373.31</v>
      </c>
    </row>
    <row r="144" spans="1:7" x14ac:dyDescent="0.25">
      <c r="A144">
        <v>143</v>
      </c>
      <c r="B144">
        <v>956</v>
      </c>
      <c r="C144">
        <v>13</v>
      </c>
      <c r="D144" s="2">
        <v>45764</v>
      </c>
      <c r="F144">
        <v>14.51</v>
      </c>
      <c r="G144">
        <v>29.02</v>
      </c>
    </row>
    <row r="145" spans="1:7" x14ac:dyDescent="0.25">
      <c r="A145">
        <v>144</v>
      </c>
      <c r="B145">
        <v>949</v>
      </c>
      <c r="C145">
        <v>19</v>
      </c>
      <c r="D145" s="2">
        <v>45599</v>
      </c>
      <c r="F145">
        <v>305.70999999999998</v>
      </c>
      <c r="G145">
        <v>917.13</v>
      </c>
    </row>
    <row r="146" spans="1:7" x14ac:dyDescent="0.25">
      <c r="A146">
        <v>145</v>
      </c>
      <c r="B146">
        <v>983</v>
      </c>
      <c r="C146">
        <v>12</v>
      </c>
      <c r="D146" s="2">
        <v>45516</v>
      </c>
      <c r="F146">
        <v>41.66</v>
      </c>
      <c r="G146">
        <v>208.3</v>
      </c>
    </row>
    <row r="147" spans="1:7" x14ac:dyDescent="0.25">
      <c r="A147">
        <v>146</v>
      </c>
      <c r="B147">
        <v>951</v>
      </c>
      <c r="C147">
        <v>48</v>
      </c>
      <c r="D147" s="2">
        <v>45515</v>
      </c>
      <c r="F147">
        <v>311.27</v>
      </c>
      <c r="G147">
        <v>933.81</v>
      </c>
    </row>
    <row r="148" spans="1:7" x14ac:dyDescent="0.25">
      <c r="A148">
        <v>147</v>
      </c>
      <c r="B148">
        <v>954</v>
      </c>
      <c r="C148">
        <v>58</v>
      </c>
      <c r="D148" s="2">
        <v>45430</v>
      </c>
      <c r="F148">
        <v>894.7</v>
      </c>
      <c r="G148">
        <v>1789.4</v>
      </c>
    </row>
    <row r="149" spans="1:7" x14ac:dyDescent="0.25">
      <c r="A149">
        <v>148</v>
      </c>
      <c r="B149">
        <v>926</v>
      </c>
      <c r="C149">
        <v>27</v>
      </c>
      <c r="D149" s="2">
        <v>45478</v>
      </c>
      <c r="F149">
        <v>432.64</v>
      </c>
      <c r="G149">
        <v>432.64</v>
      </c>
    </row>
    <row r="150" spans="1:7" x14ac:dyDescent="0.25">
      <c r="A150">
        <v>149</v>
      </c>
      <c r="B150">
        <v>882</v>
      </c>
      <c r="C150">
        <v>77</v>
      </c>
      <c r="D150" s="2">
        <v>45734</v>
      </c>
      <c r="F150">
        <v>140.97</v>
      </c>
      <c r="G150">
        <v>704.85</v>
      </c>
    </row>
    <row r="151" spans="1:7" x14ac:dyDescent="0.25">
      <c r="A151">
        <v>150</v>
      </c>
      <c r="B151">
        <v>939</v>
      </c>
      <c r="C151">
        <v>43</v>
      </c>
      <c r="D151" s="2">
        <v>45576</v>
      </c>
      <c r="F151">
        <v>914.68</v>
      </c>
      <c r="G151">
        <v>1829.36</v>
      </c>
    </row>
    <row r="152" spans="1:7" x14ac:dyDescent="0.25">
      <c r="A152">
        <v>151</v>
      </c>
      <c r="B152">
        <v>977</v>
      </c>
      <c r="C152">
        <v>99</v>
      </c>
      <c r="D152" s="2">
        <v>45632</v>
      </c>
      <c r="F152">
        <v>757.2</v>
      </c>
      <c r="G152">
        <v>757.2</v>
      </c>
    </row>
    <row r="153" spans="1:7" x14ac:dyDescent="0.25">
      <c r="A153">
        <v>152</v>
      </c>
      <c r="B153">
        <v>924</v>
      </c>
      <c r="C153">
        <v>94</v>
      </c>
      <c r="D153" s="2">
        <v>45574</v>
      </c>
      <c r="F153">
        <v>352.65</v>
      </c>
      <c r="G153">
        <v>1057.95</v>
      </c>
    </row>
    <row r="154" spans="1:7" x14ac:dyDescent="0.25">
      <c r="A154">
        <v>153</v>
      </c>
      <c r="B154">
        <v>983</v>
      </c>
      <c r="C154">
        <v>78</v>
      </c>
      <c r="D154" s="2">
        <v>45625</v>
      </c>
      <c r="F154">
        <v>150.01</v>
      </c>
      <c r="G154">
        <v>300.02</v>
      </c>
    </row>
    <row r="155" spans="1:7" x14ac:dyDescent="0.25">
      <c r="A155">
        <v>154</v>
      </c>
      <c r="B155">
        <v>821</v>
      </c>
      <c r="C155">
        <v>43</v>
      </c>
      <c r="D155" s="2">
        <v>45432</v>
      </c>
      <c r="F155">
        <v>590.69000000000005</v>
      </c>
      <c r="G155">
        <v>2362.7600000000002</v>
      </c>
    </row>
    <row r="156" spans="1:7" x14ac:dyDescent="0.25">
      <c r="A156">
        <v>155</v>
      </c>
      <c r="B156">
        <v>905</v>
      </c>
      <c r="C156">
        <v>66</v>
      </c>
      <c r="D156" s="2">
        <v>45664</v>
      </c>
      <c r="F156">
        <v>443.59</v>
      </c>
      <c r="G156">
        <v>443.59</v>
      </c>
    </row>
    <row r="157" spans="1:7" x14ac:dyDescent="0.25">
      <c r="A157">
        <v>156</v>
      </c>
      <c r="B157">
        <v>886</v>
      </c>
      <c r="C157">
        <v>89</v>
      </c>
      <c r="D157" s="2">
        <v>45525</v>
      </c>
      <c r="F157">
        <v>473.05</v>
      </c>
      <c r="G157">
        <v>946.1</v>
      </c>
    </row>
    <row r="158" spans="1:7" x14ac:dyDescent="0.25">
      <c r="A158">
        <v>157</v>
      </c>
      <c r="B158">
        <v>948</v>
      </c>
      <c r="C158">
        <v>29</v>
      </c>
      <c r="D158" s="2">
        <v>45530</v>
      </c>
      <c r="F158">
        <v>562.48</v>
      </c>
      <c r="G158">
        <v>2812.4</v>
      </c>
    </row>
    <row r="159" spans="1:7" x14ac:dyDescent="0.25">
      <c r="A159">
        <v>158</v>
      </c>
      <c r="B159">
        <v>997</v>
      </c>
      <c r="C159">
        <v>18</v>
      </c>
      <c r="D159" s="2">
        <v>45658</v>
      </c>
      <c r="F159">
        <v>739.36</v>
      </c>
      <c r="G159">
        <v>1478.72</v>
      </c>
    </row>
    <row r="160" spans="1:7" x14ac:dyDescent="0.25">
      <c r="A160">
        <v>159</v>
      </c>
      <c r="B160">
        <v>756</v>
      </c>
      <c r="C160">
        <v>65</v>
      </c>
      <c r="D160" s="2">
        <v>45474</v>
      </c>
      <c r="F160">
        <v>417.51</v>
      </c>
      <c r="G160">
        <v>417.51</v>
      </c>
    </row>
    <row r="161" spans="1:7" x14ac:dyDescent="0.25">
      <c r="A161">
        <v>160</v>
      </c>
      <c r="B161">
        <v>998</v>
      </c>
      <c r="C161">
        <v>19</v>
      </c>
      <c r="D161" s="2">
        <v>45570</v>
      </c>
      <c r="F161">
        <v>479.61</v>
      </c>
      <c r="G161">
        <v>479.61</v>
      </c>
    </row>
    <row r="162" spans="1:7" x14ac:dyDescent="0.25">
      <c r="A162">
        <v>161</v>
      </c>
      <c r="B162">
        <v>957</v>
      </c>
      <c r="C162">
        <v>41</v>
      </c>
      <c r="D162" s="2">
        <v>45484</v>
      </c>
      <c r="F162">
        <v>948.05</v>
      </c>
      <c r="G162">
        <v>2844.15</v>
      </c>
    </row>
    <row r="163" spans="1:7" x14ac:dyDescent="0.25">
      <c r="A163">
        <v>162</v>
      </c>
      <c r="B163">
        <v>980</v>
      </c>
      <c r="C163">
        <v>85</v>
      </c>
      <c r="D163" s="2">
        <v>45539</v>
      </c>
      <c r="F163">
        <v>542.29</v>
      </c>
      <c r="G163">
        <v>2711.45</v>
      </c>
    </row>
    <row r="164" spans="1:7" x14ac:dyDescent="0.25">
      <c r="A164">
        <v>163</v>
      </c>
      <c r="B164">
        <v>998</v>
      </c>
      <c r="C164">
        <v>34</v>
      </c>
      <c r="D164" s="2">
        <v>45637</v>
      </c>
      <c r="F164">
        <v>750.19</v>
      </c>
      <c r="G164">
        <v>1500.38</v>
      </c>
    </row>
    <row r="165" spans="1:7" x14ac:dyDescent="0.25">
      <c r="A165">
        <v>164</v>
      </c>
      <c r="B165">
        <v>986</v>
      </c>
      <c r="C165">
        <v>47</v>
      </c>
      <c r="D165" s="2">
        <v>45544</v>
      </c>
      <c r="F165">
        <v>241.09</v>
      </c>
      <c r="G165">
        <v>723.27</v>
      </c>
    </row>
    <row r="166" spans="1:7" x14ac:dyDescent="0.25">
      <c r="A166">
        <v>165</v>
      </c>
      <c r="B166">
        <v>917</v>
      </c>
      <c r="C166">
        <v>42</v>
      </c>
      <c r="D166" s="2">
        <v>45535</v>
      </c>
      <c r="F166">
        <v>422.57</v>
      </c>
      <c r="G166">
        <v>1267.71</v>
      </c>
    </row>
    <row r="167" spans="1:7" x14ac:dyDescent="0.25">
      <c r="A167">
        <v>166</v>
      </c>
      <c r="B167">
        <v>997</v>
      </c>
      <c r="C167">
        <v>13</v>
      </c>
      <c r="D167" s="2">
        <v>45660</v>
      </c>
      <c r="F167">
        <v>417.84</v>
      </c>
      <c r="G167">
        <v>417.84</v>
      </c>
    </row>
    <row r="168" spans="1:7" x14ac:dyDescent="0.25">
      <c r="A168">
        <v>167</v>
      </c>
      <c r="B168">
        <v>812</v>
      </c>
      <c r="C168">
        <v>40</v>
      </c>
      <c r="D168" s="2">
        <v>45465</v>
      </c>
      <c r="F168">
        <v>270.63</v>
      </c>
      <c r="G168">
        <v>270.63</v>
      </c>
    </row>
    <row r="169" spans="1:7" x14ac:dyDescent="0.25">
      <c r="A169">
        <v>168</v>
      </c>
      <c r="B169">
        <v>651</v>
      </c>
      <c r="C169">
        <v>43</v>
      </c>
      <c r="D169" s="2">
        <v>45583</v>
      </c>
      <c r="F169">
        <v>154.38</v>
      </c>
      <c r="G169">
        <v>463.14</v>
      </c>
    </row>
    <row r="170" spans="1:7" x14ac:dyDescent="0.25">
      <c r="A170">
        <v>169</v>
      </c>
      <c r="B170">
        <v>947</v>
      </c>
      <c r="C170">
        <v>89</v>
      </c>
      <c r="D170" s="2">
        <v>45454</v>
      </c>
      <c r="F170">
        <v>192.14</v>
      </c>
      <c r="G170">
        <v>384.28</v>
      </c>
    </row>
    <row r="171" spans="1:7" x14ac:dyDescent="0.25">
      <c r="A171">
        <v>170</v>
      </c>
      <c r="B171">
        <v>851</v>
      </c>
      <c r="C171">
        <v>11</v>
      </c>
      <c r="D171" s="2">
        <v>45548</v>
      </c>
      <c r="F171">
        <v>784.17</v>
      </c>
      <c r="G171">
        <v>784.17</v>
      </c>
    </row>
    <row r="172" spans="1:7" x14ac:dyDescent="0.25">
      <c r="A172">
        <v>171</v>
      </c>
      <c r="B172">
        <v>980</v>
      </c>
      <c r="C172">
        <v>60</v>
      </c>
      <c r="D172" s="2">
        <v>45789</v>
      </c>
      <c r="F172">
        <v>58.3</v>
      </c>
      <c r="G172">
        <v>233.2</v>
      </c>
    </row>
    <row r="173" spans="1:7" x14ac:dyDescent="0.25">
      <c r="A173">
        <v>172</v>
      </c>
      <c r="B173">
        <v>985</v>
      </c>
      <c r="C173">
        <v>58</v>
      </c>
      <c r="D173" s="2">
        <v>45702</v>
      </c>
      <c r="F173">
        <v>664.84</v>
      </c>
      <c r="G173">
        <v>664.84</v>
      </c>
    </row>
    <row r="174" spans="1:7" x14ac:dyDescent="0.25">
      <c r="A174">
        <v>173</v>
      </c>
      <c r="B174">
        <v>966</v>
      </c>
      <c r="C174">
        <v>13</v>
      </c>
      <c r="D174" s="2">
        <v>45713</v>
      </c>
      <c r="F174">
        <v>370.38</v>
      </c>
      <c r="G174">
        <v>1851.9</v>
      </c>
    </row>
    <row r="175" spans="1:7" x14ac:dyDescent="0.25">
      <c r="A175">
        <v>174</v>
      </c>
      <c r="B175">
        <v>976</v>
      </c>
      <c r="C175">
        <v>18</v>
      </c>
      <c r="D175" s="2">
        <v>45720</v>
      </c>
      <c r="F175">
        <v>717.13</v>
      </c>
      <c r="G175">
        <v>2868.52</v>
      </c>
    </row>
    <row r="176" spans="1:7" x14ac:dyDescent="0.25">
      <c r="A176">
        <v>175</v>
      </c>
      <c r="B176">
        <v>963</v>
      </c>
      <c r="C176">
        <v>22</v>
      </c>
      <c r="D176" s="2">
        <v>45545</v>
      </c>
      <c r="F176">
        <v>372.59</v>
      </c>
      <c r="G176">
        <v>1862.95</v>
      </c>
    </row>
    <row r="177" spans="1:7" x14ac:dyDescent="0.25">
      <c r="A177">
        <v>176</v>
      </c>
      <c r="B177">
        <v>957</v>
      </c>
      <c r="C177">
        <v>74</v>
      </c>
      <c r="D177" s="2">
        <v>45506</v>
      </c>
      <c r="F177">
        <v>712.27</v>
      </c>
      <c r="G177">
        <v>1424.54</v>
      </c>
    </row>
    <row r="178" spans="1:7" x14ac:dyDescent="0.25">
      <c r="A178">
        <v>177</v>
      </c>
      <c r="B178">
        <v>705</v>
      </c>
      <c r="C178">
        <v>87</v>
      </c>
      <c r="D178" s="2">
        <v>45429</v>
      </c>
      <c r="F178">
        <v>190.29</v>
      </c>
      <c r="G178">
        <v>190.29</v>
      </c>
    </row>
    <row r="179" spans="1:7" x14ac:dyDescent="0.25">
      <c r="A179">
        <v>178</v>
      </c>
      <c r="B179">
        <v>882</v>
      </c>
      <c r="C179">
        <v>84</v>
      </c>
      <c r="D179" s="2">
        <v>45787</v>
      </c>
      <c r="F179">
        <v>389.99</v>
      </c>
      <c r="G179">
        <v>779.98</v>
      </c>
    </row>
    <row r="180" spans="1:7" x14ac:dyDescent="0.25">
      <c r="A180">
        <v>179</v>
      </c>
      <c r="B180">
        <v>899</v>
      </c>
      <c r="C180">
        <v>92</v>
      </c>
      <c r="D180" s="2">
        <v>45436</v>
      </c>
      <c r="F180">
        <v>169.34</v>
      </c>
      <c r="G180">
        <v>846.7</v>
      </c>
    </row>
    <row r="181" spans="1:7" x14ac:dyDescent="0.25">
      <c r="A181">
        <v>180</v>
      </c>
      <c r="B181">
        <v>769</v>
      </c>
      <c r="C181">
        <v>75</v>
      </c>
      <c r="D181" s="2">
        <v>45670</v>
      </c>
      <c r="F181">
        <v>379.54</v>
      </c>
      <c r="G181">
        <v>1138.6199999999999</v>
      </c>
    </row>
    <row r="182" spans="1:7" x14ac:dyDescent="0.25">
      <c r="A182">
        <v>181</v>
      </c>
      <c r="B182">
        <v>769</v>
      </c>
      <c r="C182">
        <v>39</v>
      </c>
      <c r="D182" s="2">
        <v>45607</v>
      </c>
      <c r="F182">
        <v>621.84</v>
      </c>
      <c r="G182">
        <v>1243.68</v>
      </c>
    </row>
    <row r="183" spans="1:7" x14ac:dyDescent="0.25">
      <c r="A183">
        <v>182</v>
      </c>
      <c r="B183">
        <v>982</v>
      </c>
      <c r="C183">
        <v>4</v>
      </c>
      <c r="D183" s="2">
        <v>45463</v>
      </c>
      <c r="F183">
        <v>411.95</v>
      </c>
      <c r="G183">
        <v>823.9</v>
      </c>
    </row>
    <row r="184" spans="1:7" x14ac:dyDescent="0.25">
      <c r="A184">
        <v>183</v>
      </c>
      <c r="B184">
        <v>924</v>
      </c>
      <c r="C184">
        <v>83</v>
      </c>
      <c r="D184" s="2">
        <v>45514</v>
      </c>
      <c r="F184">
        <v>452.89</v>
      </c>
      <c r="G184">
        <v>452.89</v>
      </c>
    </row>
    <row r="185" spans="1:7" x14ac:dyDescent="0.25">
      <c r="A185">
        <v>184</v>
      </c>
      <c r="B185">
        <v>951</v>
      </c>
      <c r="C185">
        <v>5</v>
      </c>
      <c r="D185" s="2">
        <v>45555</v>
      </c>
      <c r="F185">
        <v>968.02</v>
      </c>
      <c r="G185">
        <v>1936.04</v>
      </c>
    </row>
    <row r="186" spans="1:7" x14ac:dyDescent="0.25">
      <c r="A186">
        <v>185</v>
      </c>
      <c r="B186">
        <v>951</v>
      </c>
      <c r="C186">
        <v>37</v>
      </c>
      <c r="D186" s="2">
        <v>45464</v>
      </c>
      <c r="F186">
        <v>707.94</v>
      </c>
      <c r="G186">
        <v>707.94</v>
      </c>
    </row>
    <row r="187" spans="1:7" x14ac:dyDescent="0.25">
      <c r="A187">
        <v>186</v>
      </c>
      <c r="B187">
        <v>784</v>
      </c>
      <c r="C187">
        <v>8</v>
      </c>
      <c r="D187" s="2">
        <v>45613</v>
      </c>
      <c r="F187">
        <v>466.25</v>
      </c>
      <c r="G187">
        <v>466.25</v>
      </c>
    </row>
    <row r="188" spans="1:7" x14ac:dyDescent="0.25">
      <c r="A188">
        <v>187</v>
      </c>
      <c r="B188">
        <v>798</v>
      </c>
      <c r="C188">
        <v>4</v>
      </c>
      <c r="D188" s="2">
        <v>45610</v>
      </c>
      <c r="F188">
        <v>83.06</v>
      </c>
      <c r="G188">
        <v>332.24</v>
      </c>
    </row>
    <row r="189" spans="1:7" x14ac:dyDescent="0.25">
      <c r="A189">
        <v>188</v>
      </c>
      <c r="B189">
        <v>933</v>
      </c>
      <c r="C189">
        <v>68</v>
      </c>
      <c r="D189" s="2">
        <v>45744</v>
      </c>
      <c r="F189">
        <v>580.52</v>
      </c>
      <c r="G189">
        <v>2322.08</v>
      </c>
    </row>
    <row r="190" spans="1:7" x14ac:dyDescent="0.25">
      <c r="A190">
        <v>189</v>
      </c>
      <c r="B190">
        <v>998</v>
      </c>
      <c r="C190">
        <v>37</v>
      </c>
      <c r="D190" s="2">
        <v>45735</v>
      </c>
      <c r="F190">
        <v>459.51</v>
      </c>
      <c r="G190">
        <v>919.02</v>
      </c>
    </row>
    <row r="191" spans="1:7" x14ac:dyDescent="0.25">
      <c r="A191">
        <v>190</v>
      </c>
      <c r="B191">
        <v>841</v>
      </c>
      <c r="C191">
        <v>13</v>
      </c>
      <c r="D191" s="2">
        <v>45467</v>
      </c>
      <c r="F191">
        <v>686.24</v>
      </c>
      <c r="G191">
        <v>2058.7199999999998</v>
      </c>
    </row>
    <row r="192" spans="1:7" x14ac:dyDescent="0.25">
      <c r="A192">
        <v>191</v>
      </c>
      <c r="B192">
        <v>933</v>
      </c>
      <c r="C192">
        <v>49</v>
      </c>
      <c r="D192" s="2">
        <v>45764</v>
      </c>
      <c r="F192">
        <v>12.68</v>
      </c>
      <c r="G192">
        <v>12.68</v>
      </c>
    </row>
    <row r="193" spans="1:7" x14ac:dyDescent="0.25">
      <c r="A193">
        <v>192</v>
      </c>
      <c r="B193">
        <v>939</v>
      </c>
      <c r="C193">
        <v>92</v>
      </c>
      <c r="D193" s="2">
        <v>45694</v>
      </c>
      <c r="F193">
        <v>752.64</v>
      </c>
      <c r="G193">
        <v>2257.92</v>
      </c>
    </row>
    <row r="194" spans="1:7" x14ac:dyDescent="0.25">
      <c r="A194">
        <v>193</v>
      </c>
      <c r="B194">
        <v>913</v>
      </c>
      <c r="C194">
        <v>61</v>
      </c>
      <c r="D194" s="2">
        <v>45642</v>
      </c>
      <c r="F194">
        <v>860.44</v>
      </c>
      <c r="G194">
        <v>4302.2</v>
      </c>
    </row>
    <row r="195" spans="1:7" x14ac:dyDescent="0.25">
      <c r="A195">
        <v>194</v>
      </c>
      <c r="B195">
        <v>943</v>
      </c>
      <c r="C195">
        <v>60</v>
      </c>
      <c r="D195" s="2">
        <v>45567</v>
      </c>
      <c r="F195">
        <v>823.89</v>
      </c>
      <c r="G195">
        <v>3295.56</v>
      </c>
    </row>
    <row r="196" spans="1:7" x14ac:dyDescent="0.25">
      <c r="A196">
        <v>195</v>
      </c>
      <c r="B196">
        <v>890</v>
      </c>
      <c r="C196">
        <v>55</v>
      </c>
      <c r="D196" s="2">
        <v>45740</v>
      </c>
      <c r="F196">
        <v>594.80999999999995</v>
      </c>
      <c r="G196">
        <v>1784.43</v>
      </c>
    </row>
    <row r="197" spans="1:7" x14ac:dyDescent="0.25">
      <c r="A197">
        <v>196</v>
      </c>
      <c r="B197">
        <v>907</v>
      </c>
      <c r="C197">
        <v>19</v>
      </c>
      <c r="D197" s="2">
        <v>45782</v>
      </c>
      <c r="F197">
        <v>77.010000000000005</v>
      </c>
      <c r="G197">
        <v>385.05</v>
      </c>
    </row>
    <row r="198" spans="1:7" x14ac:dyDescent="0.25">
      <c r="A198">
        <v>197</v>
      </c>
      <c r="B198">
        <v>950</v>
      </c>
      <c r="C198">
        <v>48</v>
      </c>
      <c r="D198" s="2">
        <v>45577</v>
      </c>
      <c r="F198">
        <v>269.10000000000002</v>
      </c>
      <c r="G198">
        <v>1345.5</v>
      </c>
    </row>
    <row r="199" spans="1:7" x14ac:dyDescent="0.25">
      <c r="A199">
        <v>198</v>
      </c>
      <c r="B199">
        <v>811</v>
      </c>
      <c r="C199">
        <v>25</v>
      </c>
      <c r="D199" s="2">
        <v>45515</v>
      </c>
      <c r="F199">
        <v>619.62</v>
      </c>
      <c r="G199">
        <v>619.62</v>
      </c>
    </row>
    <row r="200" spans="1:7" x14ac:dyDescent="0.25">
      <c r="A200">
        <v>199</v>
      </c>
      <c r="B200">
        <v>949</v>
      </c>
      <c r="C200">
        <v>77</v>
      </c>
      <c r="D200" s="2">
        <v>45670</v>
      </c>
      <c r="F200">
        <v>139.84</v>
      </c>
      <c r="G200">
        <v>139.84</v>
      </c>
    </row>
    <row r="201" spans="1:7" x14ac:dyDescent="0.25">
      <c r="A201">
        <v>200</v>
      </c>
      <c r="B201">
        <v>984</v>
      </c>
      <c r="C201">
        <v>89</v>
      </c>
      <c r="D201" s="2">
        <v>45748</v>
      </c>
      <c r="F201">
        <v>662.82</v>
      </c>
      <c r="G201">
        <v>3314.1</v>
      </c>
    </row>
    <row r="202" spans="1:7" x14ac:dyDescent="0.25">
      <c r="A202">
        <v>201</v>
      </c>
      <c r="B202">
        <v>987</v>
      </c>
      <c r="C202">
        <v>10</v>
      </c>
      <c r="D202" s="2">
        <v>45560</v>
      </c>
      <c r="F202">
        <v>93.72</v>
      </c>
      <c r="G202">
        <v>187.44</v>
      </c>
    </row>
    <row r="203" spans="1:7" x14ac:dyDescent="0.25">
      <c r="A203">
        <v>202</v>
      </c>
      <c r="B203">
        <v>984</v>
      </c>
      <c r="C203">
        <v>3</v>
      </c>
      <c r="D203" s="2">
        <v>45481</v>
      </c>
      <c r="F203">
        <v>873.81</v>
      </c>
      <c r="G203">
        <v>2621.4299999999998</v>
      </c>
    </row>
    <row r="204" spans="1:7" x14ac:dyDescent="0.25">
      <c r="A204">
        <v>203</v>
      </c>
      <c r="B204">
        <v>973</v>
      </c>
      <c r="C204">
        <v>98</v>
      </c>
      <c r="D204" s="2">
        <v>45755</v>
      </c>
      <c r="F204">
        <v>56.66</v>
      </c>
      <c r="G204">
        <v>226.64</v>
      </c>
    </row>
    <row r="205" spans="1:7" x14ac:dyDescent="0.25">
      <c r="A205">
        <v>204</v>
      </c>
      <c r="B205">
        <v>890</v>
      </c>
      <c r="C205">
        <v>22</v>
      </c>
      <c r="D205" s="2">
        <v>45660</v>
      </c>
      <c r="F205">
        <v>519.64</v>
      </c>
      <c r="G205">
        <v>2598.1999999999998</v>
      </c>
    </row>
    <row r="206" spans="1:7" x14ac:dyDescent="0.25">
      <c r="A206">
        <v>205</v>
      </c>
      <c r="B206">
        <v>998</v>
      </c>
      <c r="C206">
        <v>82</v>
      </c>
      <c r="D206" s="2">
        <v>45757</v>
      </c>
      <c r="F206">
        <v>612.98</v>
      </c>
      <c r="G206">
        <v>1225.96</v>
      </c>
    </row>
    <row r="207" spans="1:7" x14ac:dyDescent="0.25">
      <c r="A207">
        <v>206</v>
      </c>
      <c r="B207">
        <v>756</v>
      </c>
      <c r="C207">
        <v>33</v>
      </c>
      <c r="D207" s="2">
        <v>45774</v>
      </c>
      <c r="F207">
        <v>260.72000000000003</v>
      </c>
      <c r="G207">
        <v>1042.8800000000001</v>
      </c>
    </row>
    <row r="208" spans="1:7" x14ac:dyDescent="0.25">
      <c r="A208">
        <v>207</v>
      </c>
      <c r="B208">
        <v>972</v>
      </c>
      <c r="C208">
        <v>6</v>
      </c>
      <c r="D208" s="2">
        <v>45573</v>
      </c>
      <c r="F208">
        <v>490.05</v>
      </c>
      <c r="G208">
        <v>1470.15</v>
      </c>
    </row>
    <row r="209" spans="1:7" x14ac:dyDescent="0.25">
      <c r="A209">
        <v>208</v>
      </c>
      <c r="B209">
        <v>908</v>
      </c>
      <c r="C209">
        <v>6</v>
      </c>
      <c r="D209" s="2">
        <v>45685</v>
      </c>
      <c r="F209">
        <v>227.85</v>
      </c>
      <c r="G209">
        <v>683.55</v>
      </c>
    </row>
    <row r="210" spans="1:7" x14ac:dyDescent="0.25">
      <c r="A210">
        <v>209</v>
      </c>
      <c r="B210">
        <v>984</v>
      </c>
      <c r="C210">
        <v>6</v>
      </c>
      <c r="D210" s="2">
        <v>45626</v>
      </c>
      <c r="F210">
        <v>759</v>
      </c>
      <c r="G210">
        <v>3795</v>
      </c>
    </row>
    <row r="211" spans="1:7" x14ac:dyDescent="0.25">
      <c r="A211">
        <v>210</v>
      </c>
      <c r="B211">
        <v>933</v>
      </c>
      <c r="C211">
        <v>55</v>
      </c>
      <c r="D211" s="2">
        <v>45643</v>
      </c>
      <c r="F211">
        <v>435.66</v>
      </c>
      <c r="G211">
        <v>2178.3000000000002</v>
      </c>
    </row>
    <row r="212" spans="1:7" x14ac:dyDescent="0.25">
      <c r="A212">
        <v>211</v>
      </c>
      <c r="B212">
        <v>940</v>
      </c>
      <c r="C212">
        <v>44</v>
      </c>
      <c r="D212" s="2">
        <v>45479</v>
      </c>
      <c r="F212">
        <v>517.51</v>
      </c>
      <c r="G212">
        <v>1035.02</v>
      </c>
    </row>
    <row r="213" spans="1:7" x14ac:dyDescent="0.25">
      <c r="A213">
        <v>212</v>
      </c>
      <c r="B213">
        <v>878</v>
      </c>
      <c r="C213">
        <v>1</v>
      </c>
      <c r="D213" s="2">
        <v>45749</v>
      </c>
      <c r="F213">
        <v>896.02</v>
      </c>
      <c r="G213">
        <v>896.02</v>
      </c>
    </row>
    <row r="214" spans="1:7" x14ac:dyDescent="0.25">
      <c r="A214">
        <v>213</v>
      </c>
      <c r="B214">
        <v>854</v>
      </c>
      <c r="C214">
        <v>79</v>
      </c>
      <c r="D214" s="2">
        <v>45790</v>
      </c>
      <c r="F214">
        <v>92.97</v>
      </c>
      <c r="G214">
        <v>278.91000000000003</v>
      </c>
    </row>
    <row r="215" spans="1:7" x14ac:dyDescent="0.25">
      <c r="A215">
        <v>214</v>
      </c>
      <c r="B215">
        <v>752</v>
      </c>
      <c r="C215">
        <v>45</v>
      </c>
      <c r="D215" s="2">
        <v>45674</v>
      </c>
      <c r="F215">
        <v>931.1</v>
      </c>
      <c r="G215">
        <v>2793.3</v>
      </c>
    </row>
    <row r="216" spans="1:7" x14ac:dyDescent="0.25">
      <c r="A216">
        <v>215</v>
      </c>
      <c r="B216">
        <v>958</v>
      </c>
      <c r="C216">
        <v>19</v>
      </c>
      <c r="D216" s="2">
        <v>45733</v>
      </c>
      <c r="F216">
        <v>796.45</v>
      </c>
      <c r="G216">
        <v>2389.35</v>
      </c>
    </row>
    <row r="217" spans="1:7" x14ac:dyDescent="0.25">
      <c r="A217">
        <v>216</v>
      </c>
      <c r="B217">
        <v>972</v>
      </c>
      <c r="C217">
        <v>77</v>
      </c>
      <c r="D217" s="2">
        <v>45693</v>
      </c>
      <c r="F217">
        <v>847.34</v>
      </c>
      <c r="G217">
        <v>1694.68</v>
      </c>
    </row>
    <row r="218" spans="1:7" x14ac:dyDescent="0.25">
      <c r="A218">
        <v>217</v>
      </c>
      <c r="B218">
        <v>893</v>
      </c>
      <c r="C218">
        <v>48</v>
      </c>
      <c r="D218" s="2">
        <v>45443</v>
      </c>
      <c r="F218">
        <v>906.48</v>
      </c>
      <c r="G218">
        <v>1812.96</v>
      </c>
    </row>
    <row r="219" spans="1:7" x14ac:dyDescent="0.25">
      <c r="A219">
        <v>218</v>
      </c>
      <c r="B219">
        <v>936</v>
      </c>
      <c r="C219">
        <v>83</v>
      </c>
      <c r="D219" s="2">
        <v>45551</v>
      </c>
      <c r="F219">
        <v>163.89</v>
      </c>
      <c r="G219">
        <v>491.67</v>
      </c>
    </row>
    <row r="220" spans="1:7" x14ac:dyDescent="0.25">
      <c r="A220">
        <v>219</v>
      </c>
      <c r="B220">
        <v>752</v>
      </c>
      <c r="C220">
        <v>22</v>
      </c>
      <c r="D220" s="2">
        <v>45474</v>
      </c>
      <c r="F220">
        <v>775.19</v>
      </c>
      <c r="G220">
        <v>1550.38</v>
      </c>
    </row>
    <row r="221" spans="1:7" x14ac:dyDescent="0.25">
      <c r="A221">
        <v>220</v>
      </c>
      <c r="B221">
        <v>954</v>
      </c>
      <c r="C221">
        <v>72</v>
      </c>
      <c r="D221" s="2">
        <v>45607</v>
      </c>
      <c r="F221">
        <v>309.86</v>
      </c>
      <c r="G221">
        <v>619.72</v>
      </c>
    </row>
    <row r="222" spans="1:7" x14ac:dyDescent="0.25">
      <c r="A222">
        <v>221</v>
      </c>
      <c r="B222">
        <v>893</v>
      </c>
      <c r="C222">
        <v>68</v>
      </c>
      <c r="D222" s="2">
        <v>45711</v>
      </c>
      <c r="F222">
        <v>183.89</v>
      </c>
      <c r="G222">
        <v>367.78</v>
      </c>
    </row>
    <row r="223" spans="1:7" x14ac:dyDescent="0.25">
      <c r="A223">
        <v>222</v>
      </c>
      <c r="B223">
        <v>897</v>
      </c>
      <c r="C223">
        <v>38</v>
      </c>
      <c r="D223" s="2">
        <v>45497</v>
      </c>
      <c r="F223">
        <v>662.4</v>
      </c>
      <c r="G223">
        <v>1987.2</v>
      </c>
    </row>
    <row r="224" spans="1:7" x14ac:dyDescent="0.25">
      <c r="A224">
        <v>223</v>
      </c>
      <c r="B224">
        <v>996</v>
      </c>
      <c r="C224">
        <v>31</v>
      </c>
      <c r="D224" s="2">
        <v>45582</v>
      </c>
      <c r="F224">
        <v>441.87</v>
      </c>
      <c r="G224">
        <v>2209.35</v>
      </c>
    </row>
    <row r="225" spans="1:7" x14ac:dyDescent="0.25">
      <c r="A225">
        <v>224</v>
      </c>
      <c r="B225">
        <v>901</v>
      </c>
      <c r="C225">
        <v>46</v>
      </c>
      <c r="D225" s="2">
        <v>45616</v>
      </c>
      <c r="F225">
        <v>739.64</v>
      </c>
      <c r="G225">
        <v>2218.92</v>
      </c>
    </row>
    <row r="226" spans="1:7" x14ac:dyDescent="0.25">
      <c r="A226">
        <v>225</v>
      </c>
      <c r="B226">
        <v>952</v>
      </c>
      <c r="C226">
        <v>18</v>
      </c>
      <c r="D226" s="2">
        <v>45665</v>
      </c>
      <c r="F226">
        <v>572.62</v>
      </c>
      <c r="G226">
        <v>1145.24</v>
      </c>
    </row>
    <row r="227" spans="1:7" x14ac:dyDescent="0.25">
      <c r="A227">
        <v>226</v>
      </c>
      <c r="B227">
        <v>996</v>
      </c>
      <c r="C227">
        <v>89</v>
      </c>
      <c r="D227" s="2">
        <v>45446</v>
      </c>
      <c r="F227">
        <v>205.62</v>
      </c>
      <c r="G227">
        <v>1028.0999999999999</v>
      </c>
    </row>
    <row r="228" spans="1:7" x14ac:dyDescent="0.25">
      <c r="A228">
        <v>227</v>
      </c>
      <c r="B228">
        <v>928</v>
      </c>
      <c r="C228">
        <v>32</v>
      </c>
      <c r="D228" s="2">
        <v>45676</v>
      </c>
      <c r="F228">
        <v>782.12</v>
      </c>
      <c r="G228">
        <v>2346.36</v>
      </c>
    </row>
    <row r="229" spans="1:7" x14ac:dyDescent="0.25">
      <c r="A229">
        <v>228</v>
      </c>
      <c r="B229">
        <v>990</v>
      </c>
      <c r="C229">
        <v>21</v>
      </c>
      <c r="D229" s="2">
        <v>45566</v>
      </c>
      <c r="F229">
        <v>114.09</v>
      </c>
      <c r="G229">
        <v>114.09</v>
      </c>
    </row>
    <row r="230" spans="1:7" x14ac:dyDescent="0.25">
      <c r="A230">
        <v>229</v>
      </c>
      <c r="B230">
        <v>786</v>
      </c>
      <c r="C230">
        <v>12</v>
      </c>
      <c r="D230" s="2">
        <v>45774</v>
      </c>
      <c r="F230">
        <v>891.59</v>
      </c>
      <c r="G230">
        <v>2674.77</v>
      </c>
    </row>
    <row r="231" spans="1:7" x14ac:dyDescent="0.25">
      <c r="A231">
        <v>230</v>
      </c>
      <c r="B231">
        <v>453</v>
      </c>
      <c r="C231">
        <v>27</v>
      </c>
      <c r="D231" s="2">
        <v>45785</v>
      </c>
      <c r="F231">
        <v>162.4</v>
      </c>
      <c r="G231">
        <v>324.8</v>
      </c>
    </row>
    <row r="232" spans="1:7" x14ac:dyDescent="0.25">
      <c r="A232">
        <v>231</v>
      </c>
      <c r="B232">
        <v>886</v>
      </c>
      <c r="C232">
        <v>21</v>
      </c>
      <c r="D232" s="2">
        <v>45514</v>
      </c>
      <c r="F232">
        <v>175.79</v>
      </c>
      <c r="G232">
        <v>703.16</v>
      </c>
    </row>
    <row r="233" spans="1:7" x14ac:dyDescent="0.25">
      <c r="A233">
        <v>232</v>
      </c>
      <c r="B233">
        <v>988</v>
      </c>
      <c r="C233">
        <v>18</v>
      </c>
      <c r="D233" s="2">
        <v>45763</v>
      </c>
      <c r="F233">
        <v>383.98</v>
      </c>
      <c r="G233">
        <v>1919.9</v>
      </c>
    </row>
    <row r="234" spans="1:7" x14ac:dyDescent="0.25">
      <c r="A234">
        <v>233</v>
      </c>
      <c r="B234">
        <v>695</v>
      </c>
      <c r="C234">
        <v>77</v>
      </c>
      <c r="D234" s="2">
        <v>45783</v>
      </c>
      <c r="F234">
        <v>86.76</v>
      </c>
      <c r="G234">
        <v>433.8</v>
      </c>
    </row>
    <row r="235" spans="1:7" x14ac:dyDescent="0.25">
      <c r="A235">
        <v>234</v>
      </c>
      <c r="B235">
        <v>951</v>
      </c>
      <c r="C235">
        <v>94</v>
      </c>
      <c r="D235" s="2">
        <v>45747</v>
      </c>
      <c r="F235">
        <v>237.31</v>
      </c>
      <c r="G235">
        <v>474.62</v>
      </c>
    </row>
    <row r="236" spans="1:7" x14ac:dyDescent="0.25">
      <c r="A236">
        <v>235</v>
      </c>
      <c r="B236">
        <v>811</v>
      </c>
      <c r="C236">
        <v>38</v>
      </c>
      <c r="D236" s="2">
        <v>45472</v>
      </c>
      <c r="F236">
        <v>350.6</v>
      </c>
      <c r="G236">
        <v>1402.4</v>
      </c>
    </row>
    <row r="237" spans="1:7" x14ac:dyDescent="0.25">
      <c r="A237">
        <v>236</v>
      </c>
      <c r="B237">
        <v>984</v>
      </c>
      <c r="C237">
        <v>47</v>
      </c>
      <c r="D237" s="2">
        <v>45512</v>
      </c>
      <c r="F237">
        <v>645.86</v>
      </c>
      <c r="G237">
        <v>645.86</v>
      </c>
    </row>
    <row r="238" spans="1:7" x14ac:dyDescent="0.25">
      <c r="A238">
        <v>237</v>
      </c>
      <c r="B238">
        <v>934</v>
      </c>
      <c r="C238">
        <v>94</v>
      </c>
      <c r="D238" s="2">
        <v>45476</v>
      </c>
      <c r="F238">
        <v>691.79</v>
      </c>
      <c r="G238">
        <v>2075.37</v>
      </c>
    </row>
    <row r="239" spans="1:7" x14ac:dyDescent="0.25">
      <c r="A239">
        <v>238</v>
      </c>
      <c r="B239">
        <v>873</v>
      </c>
      <c r="C239">
        <v>65</v>
      </c>
      <c r="D239" s="2">
        <v>45688</v>
      </c>
      <c r="F239">
        <v>942.19</v>
      </c>
      <c r="G239">
        <v>942.19</v>
      </c>
    </row>
    <row r="240" spans="1:7" x14ac:dyDescent="0.25">
      <c r="A240">
        <v>239</v>
      </c>
      <c r="B240">
        <v>948</v>
      </c>
      <c r="C240">
        <v>82</v>
      </c>
      <c r="D240" s="2">
        <v>45539</v>
      </c>
      <c r="F240">
        <v>754.43</v>
      </c>
      <c r="G240">
        <v>3017.72</v>
      </c>
    </row>
    <row r="241" spans="1:7" x14ac:dyDescent="0.25">
      <c r="A241">
        <v>240</v>
      </c>
      <c r="B241">
        <v>769</v>
      </c>
      <c r="C241">
        <v>46</v>
      </c>
      <c r="D241" s="2">
        <v>45550</v>
      </c>
      <c r="F241">
        <v>718.01</v>
      </c>
      <c r="G241">
        <v>2872.04</v>
      </c>
    </row>
    <row r="242" spans="1:7" x14ac:dyDescent="0.25">
      <c r="A242">
        <v>241</v>
      </c>
      <c r="B242">
        <v>978</v>
      </c>
      <c r="C242">
        <v>8</v>
      </c>
      <c r="D242" s="2">
        <v>45488</v>
      </c>
      <c r="F242">
        <v>998.72</v>
      </c>
      <c r="G242">
        <v>2996.16</v>
      </c>
    </row>
    <row r="243" spans="1:7" x14ac:dyDescent="0.25">
      <c r="A243">
        <v>242</v>
      </c>
      <c r="B243">
        <v>938</v>
      </c>
      <c r="C243">
        <v>100</v>
      </c>
      <c r="D243" s="2">
        <v>45502</v>
      </c>
      <c r="F243">
        <v>726.95</v>
      </c>
      <c r="G243">
        <v>2907.8</v>
      </c>
    </row>
    <row r="244" spans="1:7" x14ac:dyDescent="0.25">
      <c r="A244">
        <v>243</v>
      </c>
      <c r="B244">
        <v>933</v>
      </c>
      <c r="C244">
        <v>6</v>
      </c>
      <c r="D244" s="2">
        <v>45621</v>
      </c>
      <c r="F244">
        <v>254.59</v>
      </c>
      <c r="G244">
        <v>509.18</v>
      </c>
    </row>
    <row r="245" spans="1:7" x14ac:dyDescent="0.25">
      <c r="A245">
        <v>244</v>
      </c>
      <c r="B245">
        <v>881</v>
      </c>
      <c r="C245">
        <v>81</v>
      </c>
      <c r="D245" s="2">
        <v>45488</v>
      </c>
      <c r="F245">
        <v>111.85</v>
      </c>
      <c r="G245">
        <v>223.7</v>
      </c>
    </row>
    <row r="246" spans="1:7" x14ac:dyDescent="0.25">
      <c r="A246">
        <v>245</v>
      </c>
      <c r="B246">
        <v>798</v>
      </c>
      <c r="C246">
        <v>31</v>
      </c>
      <c r="D246" s="2">
        <v>45652</v>
      </c>
      <c r="F246">
        <v>119.62</v>
      </c>
      <c r="G246">
        <v>239.24</v>
      </c>
    </row>
    <row r="247" spans="1:7" x14ac:dyDescent="0.25">
      <c r="A247">
        <v>246</v>
      </c>
      <c r="B247">
        <v>947</v>
      </c>
      <c r="C247">
        <v>45</v>
      </c>
      <c r="D247" s="2">
        <v>45443</v>
      </c>
      <c r="F247">
        <v>529.66999999999996</v>
      </c>
      <c r="G247">
        <v>1589.01</v>
      </c>
    </row>
    <row r="248" spans="1:7" x14ac:dyDescent="0.25">
      <c r="A248">
        <v>247</v>
      </c>
      <c r="B248">
        <v>957</v>
      </c>
      <c r="C248">
        <v>76</v>
      </c>
      <c r="D248" s="2">
        <v>45733</v>
      </c>
      <c r="F248">
        <v>323.11</v>
      </c>
      <c r="G248">
        <v>1615.55</v>
      </c>
    </row>
    <row r="249" spans="1:7" x14ac:dyDescent="0.25">
      <c r="A249">
        <v>248</v>
      </c>
      <c r="B249">
        <v>978</v>
      </c>
      <c r="C249">
        <v>4</v>
      </c>
      <c r="D249" s="2">
        <v>45769</v>
      </c>
      <c r="F249">
        <v>190.55</v>
      </c>
      <c r="G249">
        <v>762.2</v>
      </c>
    </row>
    <row r="250" spans="1:7" x14ac:dyDescent="0.25">
      <c r="A250">
        <v>249</v>
      </c>
      <c r="B250">
        <v>928</v>
      </c>
      <c r="C250">
        <v>24</v>
      </c>
      <c r="D250" s="2">
        <v>45782</v>
      </c>
      <c r="F250">
        <v>567.08000000000004</v>
      </c>
      <c r="G250">
        <v>1134.1600000000001</v>
      </c>
    </row>
    <row r="251" spans="1:7" x14ac:dyDescent="0.25">
      <c r="A251">
        <v>250</v>
      </c>
      <c r="B251">
        <v>651</v>
      </c>
      <c r="C251">
        <v>79</v>
      </c>
      <c r="D251" s="2">
        <v>45519</v>
      </c>
      <c r="F251">
        <v>578.62</v>
      </c>
      <c r="G251">
        <v>1735.86</v>
      </c>
    </row>
    <row r="252" spans="1:7" x14ac:dyDescent="0.25">
      <c r="A252">
        <v>251</v>
      </c>
      <c r="B252">
        <v>966</v>
      </c>
      <c r="C252">
        <v>42</v>
      </c>
      <c r="D252" s="2">
        <v>45783</v>
      </c>
      <c r="F252">
        <v>511.12</v>
      </c>
      <c r="G252">
        <v>1533.36</v>
      </c>
    </row>
    <row r="253" spans="1:7" x14ac:dyDescent="0.25">
      <c r="A253">
        <v>252</v>
      </c>
      <c r="B253">
        <v>932</v>
      </c>
      <c r="C253">
        <v>41</v>
      </c>
      <c r="D253" s="2">
        <v>45717</v>
      </c>
      <c r="F253">
        <v>529.86</v>
      </c>
      <c r="G253">
        <v>529.86</v>
      </c>
    </row>
    <row r="254" spans="1:7" x14ac:dyDescent="0.25">
      <c r="A254">
        <v>253</v>
      </c>
      <c r="B254">
        <v>905</v>
      </c>
      <c r="C254">
        <v>10</v>
      </c>
      <c r="D254" s="2">
        <v>45480</v>
      </c>
      <c r="F254">
        <v>27.55</v>
      </c>
      <c r="G254">
        <v>82.65</v>
      </c>
    </row>
    <row r="255" spans="1:7" x14ac:dyDescent="0.25">
      <c r="A255">
        <v>254</v>
      </c>
      <c r="B255">
        <v>943</v>
      </c>
      <c r="C255">
        <v>34</v>
      </c>
      <c r="D255" s="2">
        <v>45519</v>
      </c>
      <c r="F255">
        <v>99.47</v>
      </c>
      <c r="G255">
        <v>397.88</v>
      </c>
    </row>
    <row r="256" spans="1:7" x14ac:dyDescent="0.25">
      <c r="A256">
        <v>255</v>
      </c>
      <c r="B256">
        <v>959</v>
      </c>
      <c r="C256">
        <v>70</v>
      </c>
      <c r="D256" s="2">
        <v>45784</v>
      </c>
      <c r="F256">
        <v>305.68</v>
      </c>
      <c r="G256">
        <v>611.36</v>
      </c>
    </row>
    <row r="257" spans="1:7" x14ac:dyDescent="0.25">
      <c r="A257">
        <v>256</v>
      </c>
      <c r="B257">
        <v>983</v>
      </c>
      <c r="C257">
        <v>4</v>
      </c>
      <c r="D257" s="2">
        <v>45763</v>
      </c>
      <c r="F257">
        <v>390.69</v>
      </c>
      <c r="G257">
        <v>1953.45</v>
      </c>
    </row>
    <row r="258" spans="1:7" x14ac:dyDescent="0.25">
      <c r="A258">
        <v>257</v>
      </c>
      <c r="B258">
        <v>948</v>
      </c>
      <c r="C258">
        <v>65</v>
      </c>
      <c r="D258" s="2">
        <v>45784</v>
      </c>
      <c r="F258">
        <v>240.88</v>
      </c>
      <c r="G258">
        <v>481.76</v>
      </c>
    </row>
    <row r="259" spans="1:7" x14ac:dyDescent="0.25">
      <c r="A259">
        <v>258</v>
      </c>
      <c r="B259">
        <v>756</v>
      </c>
      <c r="C259">
        <v>58</v>
      </c>
      <c r="D259" s="2">
        <v>45782</v>
      </c>
      <c r="F259">
        <v>301.99</v>
      </c>
      <c r="G259">
        <v>1509.95</v>
      </c>
    </row>
    <row r="260" spans="1:7" x14ac:dyDescent="0.25">
      <c r="A260">
        <v>259</v>
      </c>
      <c r="B260">
        <v>941</v>
      </c>
      <c r="C260">
        <v>17</v>
      </c>
      <c r="D260" s="2">
        <v>45478</v>
      </c>
      <c r="F260">
        <v>12.02</v>
      </c>
      <c r="G260">
        <v>36.06</v>
      </c>
    </row>
    <row r="261" spans="1:7" x14ac:dyDescent="0.25">
      <c r="A261">
        <v>260</v>
      </c>
      <c r="B261">
        <v>977</v>
      </c>
      <c r="C261">
        <v>36</v>
      </c>
      <c r="D261" s="2">
        <v>45540</v>
      </c>
      <c r="F261">
        <v>54.64</v>
      </c>
      <c r="G261">
        <v>163.92</v>
      </c>
    </row>
    <row r="262" spans="1:7" x14ac:dyDescent="0.25">
      <c r="A262">
        <v>261</v>
      </c>
      <c r="B262">
        <v>954</v>
      </c>
      <c r="C262">
        <v>55</v>
      </c>
      <c r="D262" s="2">
        <v>45513</v>
      </c>
      <c r="F262">
        <v>795.31</v>
      </c>
      <c r="G262">
        <v>3181.24</v>
      </c>
    </row>
    <row r="263" spans="1:7" x14ac:dyDescent="0.25">
      <c r="A263">
        <v>262</v>
      </c>
      <c r="B263">
        <v>973</v>
      </c>
      <c r="C263">
        <v>2</v>
      </c>
      <c r="D263" s="2">
        <v>45609</v>
      </c>
      <c r="F263">
        <v>185.98</v>
      </c>
      <c r="G263">
        <v>371.96</v>
      </c>
    </row>
    <row r="264" spans="1:7" x14ac:dyDescent="0.25">
      <c r="A264">
        <v>263</v>
      </c>
      <c r="B264">
        <v>752</v>
      </c>
      <c r="C264">
        <v>97</v>
      </c>
      <c r="D264" s="2">
        <v>45547</v>
      </c>
      <c r="F264">
        <v>37.619999999999997</v>
      </c>
      <c r="G264">
        <v>188.1</v>
      </c>
    </row>
    <row r="265" spans="1:7" x14ac:dyDescent="0.25">
      <c r="A265">
        <v>264</v>
      </c>
      <c r="B265">
        <v>994</v>
      </c>
      <c r="C265">
        <v>99</v>
      </c>
      <c r="D265" s="2">
        <v>45772</v>
      </c>
      <c r="F265">
        <v>265.01</v>
      </c>
      <c r="G265">
        <v>795.03</v>
      </c>
    </row>
    <row r="266" spans="1:7" x14ac:dyDescent="0.25">
      <c r="A266">
        <v>265</v>
      </c>
      <c r="B266">
        <v>453</v>
      </c>
      <c r="C266">
        <v>75</v>
      </c>
      <c r="D266" s="2">
        <v>45779</v>
      </c>
      <c r="F266">
        <v>246.07</v>
      </c>
      <c r="G266">
        <v>1230.3499999999999</v>
      </c>
    </row>
    <row r="267" spans="1:7" x14ac:dyDescent="0.25">
      <c r="A267">
        <v>266</v>
      </c>
      <c r="B267">
        <v>793</v>
      </c>
      <c r="C267">
        <v>77</v>
      </c>
      <c r="D267" s="2">
        <v>45512</v>
      </c>
      <c r="F267">
        <v>167.79</v>
      </c>
      <c r="G267">
        <v>167.79</v>
      </c>
    </row>
    <row r="268" spans="1:7" x14ac:dyDescent="0.25">
      <c r="A268">
        <v>267</v>
      </c>
      <c r="B268">
        <v>988</v>
      </c>
      <c r="C268">
        <v>10</v>
      </c>
      <c r="D268" s="2">
        <v>45527</v>
      </c>
      <c r="F268">
        <v>844.75</v>
      </c>
      <c r="G268">
        <v>2534.25</v>
      </c>
    </row>
    <row r="269" spans="1:7" x14ac:dyDescent="0.25">
      <c r="A269">
        <v>268</v>
      </c>
      <c r="B269">
        <v>951</v>
      </c>
      <c r="C269">
        <v>61</v>
      </c>
      <c r="D269" s="2">
        <v>45547</v>
      </c>
      <c r="F269">
        <v>390.45</v>
      </c>
      <c r="G269">
        <v>1171.3499999999999</v>
      </c>
    </row>
    <row r="270" spans="1:7" x14ac:dyDescent="0.25">
      <c r="A270">
        <v>269</v>
      </c>
      <c r="B270">
        <v>453</v>
      </c>
      <c r="C270">
        <v>7</v>
      </c>
      <c r="D270" s="2">
        <v>45489</v>
      </c>
      <c r="F270">
        <v>328.6</v>
      </c>
      <c r="G270">
        <v>985.8</v>
      </c>
    </row>
    <row r="271" spans="1:7" x14ac:dyDescent="0.25">
      <c r="A271">
        <v>270</v>
      </c>
      <c r="B271">
        <v>961</v>
      </c>
      <c r="C271">
        <v>100</v>
      </c>
      <c r="D271" s="2">
        <v>45500</v>
      </c>
      <c r="F271">
        <v>660.04</v>
      </c>
      <c r="G271">
        <v>2640.16</v>
      </c>
    </row>
    <row r="272" spans="1:7" x14ac:dyDescent="0.25">
      <c r="A272">
        <v>271</v>
      </c>
      <c r="B272">
        <v>769</v>
      </c>
      <c r="C272">
        <v>57</v>
      </c>
      <c r="D272" s="2">
        <v>45705</v>
      </c>
      <c r="F272">
        <v>75.06</v>
      </c>
      <c r="G272">
        <v>150.12</v>
      </c>
    </row>
    <row r="273" spans="1:7" x14ac:dyDescent="0.25">
      <c r="A273">
        <v>272</v>
      </c>
      <c r="B273">
        <v>909</v>
      </c>
      <c r="C273">
        <v>74</v>
      </c>
      <c r="D273" s="2">
        <v>45431</v>
      </c>
      <c r="F273">
        <v>457.25</v>
      </c>
      <c r="G273">
        <v>1829</v>
      </c>
    </row>
    <row r="274" spans="1:7" x14ac:dyDescent="0.25">
      <c r="A274">
        <v>273</v>
      </c>
      <c r="B274">
        <v>886</v>
      </c>
      <c r="C274">
        <v>79</v>
      </c>
      <c r="D274" s="2">
        <v>45548</v>
      </c>
      <c r="F274">
        <v>285</v>
      </c>
      <c r="G274">
        <v>1140</v>
      </c>
    </row>
    <row r="275" spans="1:7" x14ac:dyDescent="0.25">
      <c r="A275">
        <v>274</v>
      </c>
      <c r="B275">
        <v>812</v>
      </c>
      <c r="C275">
        <v>62</v>
      </c>
      <c r="D275" s="2">
        <v>45451</v>
      </c>
      <c r="F275">
        <v>722.22</v>
      </c>
      <c r="G275">
        <v>2888.88</v>
      </c>
    </row>
    <row r="276" spans="1:7" x14ac:dyDescent="0.25">
      <c r="A276">
        <v>275</v>
      </c>
      <c r="B276">
        <v>970</v>
      </c>
      <c r="C276">
        <v>80</v>
      </c>
      <c r="D276" s="2">
        <v>45548</v>
      </c>
      <c r="F276">
        <v>145.26</v>
      </c>
      <c r="G276">
        <v>435.78</v>
      </c>
    </row>
    <row r="277" spans="1:7" x14ac:dyDescent="0.25">
      <c r="A277">
        <v>276</v>
      </c>
      <c r="B277">
        <v>899</v>
      </c>
      <c r="C277">
        <v>25</v>
      </c>
      <c r="D277" s="2">
        <v>45733</v>
      </c>
      <c r="F277">
        <v>26.02</v>
      </c>
      <c r="G277">
        <v>26.02</v>
      </c>
    </row>
    <row r="278" spans="1:7" x14ac:dyDescent="0.25">
      <c r="A278">
        <v>277</v>
      </c>
      <c r="B278">
        <v>811</v>
      </c>
      <c r="C278">
        <v>90</v>
      </c>
      <c r="D278" s="2">
        <v>45528</v>
      </c>
      <c r="F278">
        <v>762.47</v>
      </c>
      <c r="G278">
        <v>3049.88</v>
      </c>
    </row>
    <row r="279" spans="1:7" x14ac:dyDescent="0.25">
      <c r="A279">
        <v>278</v>
      </c>
      <c r="B279">
        <v>995</v>
      </c>
      <c r="C279">
        <v>11</v>
      </c>
      <c r="D279" s="2">
        <v>45514</v>
      </c>
      <c r="F279">
        <v>663.96</v>
      </c>
      <c r="G279">
        <v>1327.92</v>
      </c>
    </row>
    <row r="280" spans="1:7" x14ac:dyDescent="0.25">
      <c r="A280">
        <v>279</v>
      </c>
      <c r="B280">
        <v>948</v>
      </c>
      <c r="C280">
        <v>65</v>
      </c>
      <c r="D280" s="2">
        <v>45761</v>
      </c>
      <c r="F280">
        <v>273.61</v>
      </c>
      <c r="G280">
        <v>820.83</v>
      </c>
    </row>
    <row r="281" spans="1:7" x14ac:dyDescent="0.25">
      <c r="A281">
        <v>280</v>
      </c>
      <c r="B281">
        <v>998</v>
      </c>
      <c r="C281">
        <v>68</v>
      </c>
      <c r="D281" s="2">
        <v>45770</v>
      </c>
      <c r="F281">
        <v>427.08</v>
      </c>
      <c r="G281">
        <v>1708.32</v>
      </c>
    </row>
    <row r="282" spans="1:7" x14ac:dyDescent="0.25">
      <c r="A282">
        <v>281</v>
      </c>
      <c r="B282">
        <v>994</v>
      </c>
      <c r="C282">
        <v>95</v>
      </c>
      <c r="D282" s="2">
        <v>45762</v>
      </c>
      <c r="F282">
        <v>612.82000000000005</v>
      </c>
      <c r="G282">
        <v>1225.6400000000001</v>
      </c>
    </row>
    <row r="283" spans="1:7" x14ac:dyDescent="0.25">
      <c r="A283">
        <v>282</v>
      </c>
      <c r="B283">
        <v>909</v>
      </c>
      <c r="C283">
        <v>95</v>
      </c>
      <c r="D283" s="2">
        <v>45429</v>
      </c>
      <c r="F283">
        <v>359.4</v>
      </c>
      <c r="G283">
        <v>1797</v>
      </c>
    </row>
    <row r="284" spans="1:7" x14ac:dyDescent="0.25">
      <c r="A284">
        <v>283</v>
      </c>
      <c r="B284">
        <v>453</v>
      </c>
      <c r="C284">
        <v>29</v>
      </c>
      <c r="D284" s="2">
        <v>45588</v>
      </c>
      <c r="F284">
        <v>149.62</v>
      </c>
      <c r="G284">
        <v>598.48</v>
      </c>
    </row>
    <row r="285" spans="1:7" x14ac:dyDescent="0.25">
      <c r="A285">
        <v>284</v>
      </c>
      <c r="B285">
        <v>994</v>
      </c>
      <c r="C285">
        <v>3</v>
      </c>
      <c r="D285" s="2">
        <v>45646</v>
      </c>
      <c r="F285">
        <v>930.6</v>
      </c>
      <c r="G285">
        <v>4653</v>
      </c>
    </row>
    <row r="286" spans="1:7" x14ac:dyDescent="0.25">
      <c r="A286">
        <v>285</v>
      </c>
      <c r="B286">
        <v>886</v>
      </c>
      <c r="C286">
        <v>68</v>
      </c>
      <c r="D286" s="2">
        <v>45598</v>
      </c>
      <c r="F286">
        <v>805.43</v>
      </c>
      <c r="G286">
        <v>4027.15</v>
      </c>
    </row>
    <row r="287" spans="1:7" x14ac:dyDescent="0.25">
      <c r="A287">
        <v>286</v>
      </c>
      <c r="B287">
        <v>793</v>
      </c>
      <c r="C287">
        <v>23</v>
      </c>
      <c r="D287" s="2">
        <v>45477</v>
      </c>
      <c r="F287">
        <v>149.19</v>
      </c>
      <c r="G287">
        <v>745.95</v>
      </c>
    </row>
    <row r="288" spans="1:7" x14ac:dyDescent="0.25">
      <c r="A288">
        <v>287</v>
      </c>
      <c r="B288">
        <v>926</v>
      </c>
      <c r="C288">
        <v>61</v>
      </c>
      <c r="D288" s="2">
        <v>45510</v>
      </c>
      <c r="F288">
        <v>209.05</v>
      </c>
      <c r="G288">
        <v>836.2</v>
      </c>
    </row>
    <row r="289" spans="1:7" x14ac:dyDescent="0.25">
      <c r="A289">
        <v>288</v>
      </c>
      <c r="B289">
        <v>885</v>
      </c>
      <c r="C289">
        <v>29</v>
      </c>
      <c r="D289" s="2">
        <v>45505</v>
      </c>
      <c r="F289">
        <v>509.33</v>
      </c>
      <c r="G289">
        <v>509.33</v>
      </c>
    </row>
    <row r="290" spans="1:7" x14ac:dyDescent="0.25">
      <c r="A290">
        <v>289</v>
      </c>
      <c r="B290">
        <v>908</v>
      </c>
      <c r="C290">
        <v>73</v>
      </c>
      <c r="D290" s="2">
        <v>45620</v>
      </c>
      <c r="F290">
        <v>258.45</v>
      </c>
      <c r="G290">
        <v>1292.25</v>
      </c>
    </row>
    <row r="291" spans="1:7" x14ac:dyDescent="0.25">
      <c r="A291">
        <v>290</v>
      </c>
      <c r="B291">
        <v>938</v>
      </c>
      <c r="C291">
        <v>56</v>
      </c>
      <c r="D291" s="2">
        <v>45763</v>
      </c>
      <c r="F291">
        <v>730.04</v>
      </c>
      <c r="G291">
        <v>3650.2</v>
      </c>
    </row>
    <row r="292" spans="1:7" x14ac:dyDescent="0.25">
      <c r="A292">
        <v>291</v>
      </c>
      <c r="B292">
        <v>951</v>
      </c>
      <c r="C292">
        <v>4</v>
      </c>
      <c r="D292" s="2">
        <v>45660</v>
      </c>
      <c r="F292">
        <v>418.17</v>
      </c>
      <c r="G292">
        <v>1254.51</v>
      </c>
    </row>
    <row r="293" spans="1:7" x14ac:dyDescent="0.25">
      <c r="A293">
        <v>292</v>
      </c>
      <c r="B293">
        <v>938</v>
      </c>
      <c r="C293">
        <v>16</v>
      </c>
      <c r="D293" s="2">
        <v>45438</v>
      </c>
      <c r="F293">
        <v>120.39</v>
      </c>
      <c r="G293">
        <v>120.39</v>
      </c>
    </row>
    <row r="294" spans="1:7" x14ac:dyDescent="0.25">
      <c r="A294">
        <v>293</v>
      </c>
      <c r="B294">
        <v>947</v>
      </c>
      <c r="C294">
        <v>64</v>
      </c>
      <c r="D294" s="2">
        <v>45498</v>
      </c>
      <c r="F294">
        <v>151.74</v>
      </c>
      <c r="G294">
        <v>303.48</v>
      </c>
    </row>
    <row r="295" spans="1:7" x14ac:dyDescent="0.25">
      <c r="A295">
        <v>294</v>
      </c>
      <c r="B295">
        <v>811</v>
      </c>
      <c r="C295">
        <v>3</v>
      </c>
      <c r="D295" s="2">
        <v>45444</v>
      </c>
      <c r="F295">
        <v>504.53</v>
      </c>
      <c r="G295">
        <v>1009.06</v>
      </c>
    </row>
    <row r="296" spans="1:7" x14ac:dyDescent="0.25">
      <c r="A296">
        <v>295</v>
      </c>
      <c r="B296">
        <v>811</v>
      </c>
      <c r="C296">
        <v>74</v>
      </c>
      <c r="D296" s="2">
        <v>45556</v>
      </c>
      <c r="F296">
        <v>928.53</v>
      </c>
      <c r="G296">
        <v>928.53</v>
      </c>
    </row>
    <row r="297" spans="1:7" x14ac:dyDescent="0.25">
      <c r="A297">
        <v>296</v>
      </c>
      <c r="B297">
        <v>854</v>
      </c>
      <c r="C297">
        <v>88</v>
      </c>
      <c r="D297" s="2">
        <v>45736</v>
      </c>
      <c r="F297">
        <v>51.33</v>
      </c>
      <c r="G297">
        <v>51.33</v>
      </c>
    </row>
    <row r="298" spans="1:7" x14ac:dyDescent="0.25">
      <c r="A298">
        <v>297</v>
      </c>
      <c r="B298">
        <v>972</v>
      </c>
      <c r="C298">
        <v>63</v>
      </c>
      <c r="D298" s="2">
        <v>45522</v>
      </c>
      <c r="F298">
        <v>846.01</v>
      </c>
      <c r="G298">
        <v>4230.05</v>
      </c>
    </row>
    <row r="299" spans="1:7" x14ac:dyDescent="0.25">
      <c r="A299">
        <v>298</v>
      </c>
      <c r="B299">
        <v>938</v>
      </c>
      <c r="C299">
        <v>43</v>
      </c>
      <c r="D299" s="2">
        <v>45574</v>
      </c>
      <c r="F299">
        <v>969.44</v>
      </c>
      <c r="G299">
        <v>4847.2</v>
      </c>
    </row>
    <row r="300" spans="1:7" x14ac:dyDescent="0.25">
      <c r="A300">
        <v>299</v>
      </c>
      <c r="B300">
        <v>752</v>
      </c>
      <c r="C300">
        <v>14</v>
      </c>
      <c r="D300" s="2">
        <v>45716</v>
      </c>
      <c r="F300">
        <v>604.95000000000005</v>
      </c>
      <c r="G300">
        <v>1209.9000000000001</v>
      </c>
    </row>
    <row r="301" spans="1:7" x14ac:dyDescent="0.25">
      <c r="A301">
        <v>300</v>
      </c>
      <c r="B301">
        <v>939</v>
      </c>
      <c r="C301">
        <v>56</v>
      </c>
      <c r="D301" s="2">
        <v>45627</v>
      </c>
      <c r="F301">
        <v>103.71</v>
      </c>
      <c r="G301">
        <v>207.42</v>
      </c>
    </row>
    <row r="302" spans="1:7" x14ac:dyDescent="0.25">
      <c r="A302">
        <v>301</v>
      </c>
      <c r="B302">
        <v>970</v>
      </c>
      <c r="C302">
        <v>5</v>
      </c>
      <c r="D302" s="2">
        <v>45779</v>
      </c>
      <c r="F302">
        <v>361.91</v>
      </c>
      <c r="G302">
        <v>723.82</v>
      </c>
    </row>
    <row r="303" spans="1:7" x14ac:dyDescent="0.25">
      <c r="A303">
        <v>302</v>
      </c>
      <c r="B303">
        <v>990</v>
      </c>
      <c r="C303">
        <v>16</v>
      </c>
      <c r="D303" s="2">
        <v>45766</v>
      </c>
      <c r="F303">
        <v>826.01</v>
      </c>
      <c r="G303">
        <v>2478.0300000000002</v>
      </c>
    </row>
    <row r="304" spans="1:7" x14ac:dyDescent="0.25">
      <c r="A304">
        <v>303</v>
      </c>
      <c r="B304">
        <v>996</v>
      </c>
      <c r="C304">
        <v>31</v>
      </c>
      <c r="D304" s="2">
        <v>45468</v>
      </c>
      <c r="F304">
        <v>451.53</v>
      </c>
      <c r="G304">
        <v>1354.59</v>
      </c>
    </row>
    <row r="305" spans="1:7" x14ac:dyDescent="0.25">
      <c r="A305">
        <v>304</v>
      </c>
      <c r="B305">
        <v>890</v>
      </c>
      <c r="C305">
        <v>57</v>
      </c>
      <c r="D305" s="2">
        <v>45630</v>
      </c>
      <c r="F305">
        <v>661.93</v>
      </c>
      <c r="G305">
        <v>2647.72</v>
      </c>
    </row>
    <row r="306" spans="1:7" x14ac:dyDescent="0.25">
      <c r="A306">
        <v>305</v>
      </c>
      <c r="B306">
        <v>976</v>
      </c>
      <c r="C306">
        <v>52</v>
      </c>
      <c r="D306" s="2">
        <v>45729</v>
      </c>
      <c r="F306">
        <v>843.73</v>
      </c>
      <c r="G306">
        <v>3374.92</v>
      </c>
    </row>
    <row r="307" spans="1:7" x14ac:dyDescent="0.25">
      <c r="A307">
        <v>306</v>
      </c>
      <c r="B307">
        <v>878</v>
      </c>
      <c r="C307">
        <v>30</v>
      </c>
      <c r="D307" s="2">
        <v>45697</v>
      </c>
      <c r="F307">
        <v>343.22</v>
      </c>
      <c r="G307">
        <v>686.44</v>
      </c>
    </row>
    <row r="308" spans="1:7" x14ac:dyDescent="0.25">
      <c r="A308">
        <v>307</v>
      </c>
      <c r="B308">
        <v>886</v>
      </c>
      <c r="C308">
        <v>62</v>
      </c>
      <c r="D308" s="2">
        <v>45555</v>
      </c>
      <c r="F308">
        <v>725.64</v>
      </c>
      <c r="G308">
        <v>3628.2</v>
      </c>
    </row>
    <row r="309" spans="1:7" x14ac:dyDescent="0.25">
      <c r="A309">
        <v>308</v>
      </c>
      <c r="B309">
        <v>983</v>
      </c>
      <c r="C309">
        <v>54</v>
      </c>
      <c r="D309" s="2">
        <v>45622</v>
      </c>
      <c r="F309">
        <v>300.52999999999997</v>
      </c>
      <c r="G309">
        <v>601.05999999999995</v>
      </c>
    </row>
    <row r="310" spans="1:7" x14ac:dyDescent="0.25">
      <c r="A310">
        <v>309</v>
      </c>
      <c r="B310">
        <v>908</v>
      </c>
      <c r="C310">
        <v>63</v>
      </c>
      <c r="D310" s="2">
        <v>45601</v>
      </c>
      <c r="F310">
        <v>106.36</v>
      </c>
      <c r="G310">
        <v>531.79999999999995</v>
      </c>
    </row>
    <row r="311" spans="1:7" x14ac:dyDescent="0.25">
      <c r="A311">
        <v>310</v>
      </c>
      <c r="B311">
        <v>948</v>
      </c>
      <c r="C311">
        <v>4</v>
      </c>
      <c r="D311" s="2">
        <v>45707</v>
      </c>
      <c r="F311">
        <v>279.95999999999998</v>
      </c>
      <c r="G311">
        <v>839.88</v>
      </c>
    </row>
    <row r="312" spans="1:7" x14ac:dyDescent="0.25">
      <c r="A312">
        <v>311</v>
      </c>
      <c r="B312">
        <v>928</v>
      </c>
      <c r="C312">
        <v>24</v>
      </c>
      <c r="D312" s="2">
        <v>45454</v>
      </c>
      <c r="F312">
        <v>425.14</v>
      </c>
      <c r="G312">
        <v>2125.6999999999998</v>
      </c>
    </row>
    <row r="313" spans="1:7" x14ac:dyDescent="0.25">
      <c r="A313">
        <v>312</v>
      </c>
      <c r="B313">
        <v>901</v>
      </c>
      <c r="C313">
        <v>56</v>
      </c>
      <c r="D313" s="2">
        <v>45481</v>
      </c>
      <c r="F313">
        <v>149.44</v>
      </c>
      <c r="G313">
        <v>747.2</v>
      </c>
    </row>
    <row r="314" spans="1:7" x14ac:dyDescent="0.25">
      <c r="A314">
        <v>313</v>
      </c>
      <c r="B314">
        <v>685</v>
      </c>
      <c r="C314">
        <v>47</v>
      </c>
      <c r="D314" s="2">
        <v>45587</v>
      </c>
      <c r="F314">
        <v>657.45</v>
      </c>
      <c r="G314">
        <v>1972.35</v>
      </c>
    </row>
    <row r="315" spans="1:7" x14ac:dyDescent="0.25">
      <c r="A315">
        <v>314</v>
      </c>
      <c r="B315">
        <v>837</v>
      </c>
      <c r="C315">
        <v>30</v>
      </c>
      <c r="D315" s="2">
        <v>45482</v>
      </c>
      <c r="F315">
        <v>97.36</v>
      </c>
      <c r="G315">
        <v>194.72</v>
      </c>
    </row>
    <row r="316" spans="1:7" x14ac:dyDescent="0.25">
      <c r="A316">
        <v>315</v>
      </c>
      <c r="B316">
        <v>925</v>
      </c>
      <c r="C316">
        <v>74</v>
      </c>
      <c r="D316" s="2">
        <v>45526</v>
      </c>
      <c r="F316">
        <v>308.52999999999997</v>
      </c>
      <c r="G316">
        <v>1234.1199999999999</v>
      </c>
    </row>
    <row r="317" spans="1:7" x14ac:dyDescent="0.25">
      <c r="A317">
        <v>316</v>
      </c>
      <c r="B317">
        <v>957</v>
      </c>
      <c r="C317">
        <v>86</v>
      </c>
      <c r="D317" s="2">
        <v>45486</v>
      </c>
      <c r="F317">
        <v>72.03</v>
      </c>
      <c r="G317">
        <v>360.15</v>
      </c>
    </row>
    <row r="318" spans="1:7" x14ac:dyDescent="0.25">
      <c r="A318">
        <v>317</v>
      </c>
      <c r="B318">
        <v>798</v>
      </c>
      <c r="C318">
        <v>93</v>
      </c>
      <c r="D318" s="2">
        <v>45467</v>
      </c>
      <c r="F318">
        <v>52.66</v>
      </c>
      <c r="G318">
        <v>210.64</v>
      </c>
    </row>
    <row r="319" spans="1:7" x14ac:dyDescent="0.25">
      <c r="A319">
        <v>318</v>
      </c>
      <c r="B319">
        <v>917</v>
      </c>
      <c r="C319">
        <v>29</v>
      </c>
      <c r="D319" s="2">
        <v>45781</v>
      </c>
      <c r="F319">
        <v>314.74</v>
      </c>
      <c r="G319">
        <v>629.48</v>
      </c>
    </row>
    <row r="320" spans="1:7" x14ac:dyDescent="0.25">
      <c r="A320">
        <v>319</v>
      </c>
      <c r="B320">
        <v>996</v>
      </c>
      <c r="C320">
        <v>24</v>
      </c>
      <c r="D320" s="2">
        <v>45634</v>
      </c>
      <c r="F320">
        <v>685.05</v>
      </c>
      <c r="G320">
        <v>2740.2</v>
      </c>
    </row>
    <row r="321" spans="1:7" x14ac:dyDescent="0.25">
      <c r="A321">
        <v>320</v>
      </c>
      <c r="B321">
        <v>975</v>
      </c>
      <c r="C321">
        <v>11</v>
      </c>
      <c r="D321" s="2">
        <v>45735</v>
      </c>
      <c r="F321">
        <v>668.09</v>
      </c>
      <c r="G321">
        <v>3340.45</v>
      </c>
    </row>
    <row r="322" spans="1:7" x14ac:dyDescent="0.25">
      <c r="A322">
        <v>321</v>
      </c>
      <c r="B322">
        <v>948</v>
      </c>
      <c r="C322">
        <v>29</v>
      </c>
      <c r="D322" s="2">
        <v>45435</v>
      </c>
      <c r="F322">
        <v>243.53</v>
      </c>
      <c r="G322">
        <v>974.12</v>
      </c>
    </row>
    <row r="323" spans="1:7" x14ac:dyDescent="0.25">
      <c r="A323">
        <v>322</v>
      </c>
      <c r="B323">
        <v>961</v>
      </c>
      <c r="C323">
        <v>94</v>
      </c>
      <c r="D323" s="2">
        <v>45748</v>
      </c>
      <c r="F323">
        <v>452.55</v>
      </c>
      <c r="G323">
        <v>1357.65</v>
      </c>
    </row>
    <row r="324" spans="1:7" x14ac:dyDescent="0.25">
      <c r="A324">
        <v>323</v>
      </c>
      <c r="B324">
        <v>705</v>
      </c>
      <c r="C324">
        <v>81</v>
      </c>
      <c r="D324" s="2">
        <v>45661</v>
      </c>
      <c r="F324">
        <v>248.95</v>
      </c>
      <c r="G324">
        <v>995.8</v>
      </c>
    </row>
    <row r="325" spans="1:7" x14ac:dyDescent="0.25">
      <c r="A325">
        <v>324</v>
      </c>
      <c r="B325">
        <v>967</v>
      </c>
      <c r="C325">
        <v>69</v>
      </c>
      <c r="D325" s="2">
        <v>45530</v>
      </c>
      <c r="F325">
        <v>366.61</v>
      </c>
      <c r="G325">
        <v>1466.44</v>
      </c>
    </row>
    <row r="326" spans="1:7" x14ac:dyDescent="0.25">
      <c r="A326">
        <v>325</v>
      </c>
      <c r="B326">
        <v>837</v>
      </c>
      <c r="C326">
        <v>6</v>
      </c>
      <c r="D326" s="2">
        <v>45548</v>
      </c>
      <c r="F326">
        <v>456.69</v>
      </c>
      <c r="G326">
        <v>456.69</v>
      </c>
    </row>
    <row r="327" spans="1:7" x14ac:dyDescent="0.25">
      <c r="A327">
        <v>326</v>
      </c>
      <c r="B327">
        <v>453</v>
      </c>
      <c r="C327">
        <v>18</v>
      </c>
      <c r="D327" s="2">
        <v>45636</v>
      </c>
      <c r="F327">
        <v>891.12</v>
      </c>
      <c r="G327">
        <v>3564.48</v>
      </c>
    </row>
    <row r="328" spans="1:7" x14ac:dyDescent="0.25">
      <c r="A328">
        <v>327</v>
      </c>
      <c r="B328">
        <v>917</v>
      </c>
      <c r="C328">
        <v>47</v>
      </c>
      <c r="D328" s="2">
        <v>45600</v>
      </c>
      <c r="F328">
        <v>142.34</v>
      </c>
      <c r="G328">
        <v>284.68</v>
      </c>
    </row>
    <row r="329" spans="1:7" x14ac:dyDescent="0.25">
      <c r="A329">
        <v>328</v>
      </c>
      <c r="B329">
        <v>909</v>
      </c>
      <c r="C329">
        <v>83</v>
      </c>
      <c r="D329" s="2">
        <v>45570</v>
      </c>
      <c r="F329">
        <v>95.32</v>
      </c>
      <c r="G329">
        <v>95.32</v>
      </c>
    </row>
    <row r="330" spans="1:7" x14ac:dyDescent="0.25">
      <c r="A330">
        <v>329</v>
      </c>
      <c r="B330">
        <v>685</v>
      </c>
      <c r="C330">
        <v>93</v>
      </c>
      <c r="D330" s="2">
        <v>45658</v>
      </c>
      <c r="F330">
        <v>550.29</v>
      </c>
      <c r="G330">
        <v>2201.16</v>
      </c>
    </row>
    <row r="331" spans="1:7" x14ac:dyDescent="0.25">
      <c r="A331">
        <v>330</v>
      </c>
      <c r="B331">
        <v>998</v>
      </c>
      <c r="C331">
        <v>67</v>
      </c>
      <c r="D331" s="2">
        <v>45711</v>
      </c>
      <c r="F331">
        <v>30.85</v>
      </c>
      <c r="G331">
        <v>154.25</v>
      </c>
    </row>
    <row r="332" spans="1:7" x14ac:dyDescent="0.25">
      <c r="A332">
        <v>331</v>
      </c>
      <c r="B332">
        <v>963</v>
      </c>
      <c r="C332">
        <v>40</v>
      </c>
      <c r="D332" s="2">
        <v>45495</v>
      </c>
      <c r="F332">
        <v>893.52</v>
      </c>
      <c r="G332">
        <v>4467.6000000000004</v>
      </c>
    </row>
    <row r="333" spans="1:7" x14ac:dyDescent="0.25">
      <c r="A333">
        <v>332</v>
      </c>
      <c r="B333">
        <v>956</v>
      </c>
      <c r="C333">
        <v>52</v>
      </c>
      <c r="D333" s="2">
        <v>45472</v>
      </c>
      <c r="F333">
        <v>756.99</v>
      </c>
      <c r="G333">
        <v>1513.98</v>
      </c>
    </row>
    <row r="334" spans="1:7" x14ac:dyDescent="0.25">
      <c r="A334">
        <v>333</v>
      </c>
      <c r="B334">
        <v>882</v>
      </c>
      <c r="C334">
        <v>94</v>
      </c>
      <c r="D334" s="2">
        <v>45484</v>
      </c>
      <c r="F334">
        <v>73.900000000000006</v>
      </c>
      <c r="G334">
        <v>73.900000000000006</v>
      </c>
    </row>
    <row r="335" spans="1:7" x14ac:dyDescent="0.25">
      <c r="A335">
        <v>334</v>
      </c>
      <c r="B335">
        <v>948</v>
      </c>
      <c r="C335">
        <v>74</v>
      </c>
      <c r="D335" s="2">
        <v>45571</v>
      </c>
      <c r="F335">
        <v>841.04</v>
      </c>
      <c r="G335">
        <v>4205.2</v>
      </c>
    </row>
    <row r="336" spans="1:7" x14ac:dyDescent="0.25">
      <c r="A336">
        <v>335</v>
      </c>
      <c r="B336">
        <v>786</v>
      </c>
      <c r="C336">
        <v>74</v>
      </c>
      <c r="D336" s="2">
        <v>45709</v>
      </c>
      <c r="F336">
        <v>854.25</v>
      </c>
      <c r="G336">
        <v>2562.75</v>
      </c>
    </row>
    <row r="337" spans="1:7" x14ac:dyDescent="0.25">
      <c r="A337">
        <v>336</v>
      </c>
      <c r="B337">
        <v>851</v>
      </c>
      <c r="C337">
        <v>59</v>
      </c>
      <c r="D337" s="2">
        <v>45638</v>
      </c>
      <c r="F337">
        <v>547.57000000000005</v>
      </c>
      <c r="G337">
        <v>547.57000000000005</v>
      </c>
    </row>
    <row r="338" spans="1:7" x14ac:dyDescent="0.25">
      <c r="A338">
        <v>337</v>
      </c>
      <c r="B338">
        <v>939</v>
      </c>
      <c r="C338">
        <v>77</v>
      </c>
      <c r="D338" s="2">
        <v>45705</v>
      </c>
      <c r="F338">
        <v>359.3</v>
      </c>
      <c r="G338">
        <v>1077.9000000000001</v>
      </c>
    </row>
    <row r="339" spans="1:7" x14ac:dyDescent="0.25">
      <c r="A339">
        <v>338</v>
      </c>
      <c r="B339">
        <v>989</v>
      </c>
      <c r="C339">
        <v>20</v>
      </c>
      <c r="D339" s="2">
        <v>45511</v>
      </c>
      <c r="F339">
        <v>361.71</v>
      </c>
      <c r="G339">
        <v>723.42</v>
      </c>
    </row>
    <row r="340" spans="1:7" x14ac:dyDescent="0.25">
      <c r="A340">
        <v>339</v>
      </c>
      <c r="B340">
        <v>979</v>
      </c>
      <c r="C340">
        <v>88</v>
      </c>
      <c r="D340" s="2">
        <v>45482</v>
      </c>
      <c r="F340">
        <v>390.01</v>
      </c>
      <c r="G340">
        <v>390.01</v>
      </c>
    </row>
    <row r="341" spans="1:7" x14ac:dyDescent="0.25">
      <c r="A341">
        <v>340</v>
      </c>
      <c r="B341">
        <v>702</v>
      </c>
      <c r="C341">
        <v>17</v>
      </c>
      <c r="D341" s="2">
        <v>45763</v>
      </c>
      <c r="F341">
        <v>299.91000000000003</v>
      </c>
      <c r="G341">
        <v>1499.55</v>
      </c>
    </row>
    <row r="342" spans="1:7" x14ac:dyDescent="0.25">
      <c r="A342">
        <v>341</v>
      </c>
      <c r="B342">
        <v>907</v>
      </c>
      <c r="C342">
        <v>58</v>
      </c>
      <c r="D342" s="2">
        <v>45616</v>
      </c>
      <c r="F342">
        <v>362.78</v>
      </c>
      <c r="G342">
        <v>1088.3399999999999</v>
      </c>
    </row>
    <row r="343" spans="1:7" x14ac:dyDescent="0.25">
      <c r="A343">
        <v>342</v>
      </c>
      <c r="B343">
        <v>837</v>
      </c>
      <c r="C343">
        <v>60</v>
      </c>
      <c r="D343" s="2">
        <v>45625</v>
      </c>
      <c r="F343">
        <v>225.53</v>
      </c>
      <c r="G343">
        <v>902.12</v>
      </c>
    </row>
    <row r="344" spans="1:7" x14ac:dyDescent="0.25">
      <c r="A344">
        <v>343</v>
      </c>
      <c r="B344">
        <v>973</v>
      </c>
      <c r="C344">
        <v>13</v>
      </c>
      <c r="D344" s="2">
        <v>45613</v>
      </c>
      <c r="F344">
        <v>970.25</v>
      </c>
      <c r="G344">
        <v>4851.25</v>
      </c>
    </row>
    <row r="345" spans="1:7" x14ac:dyDescent="0.25">
      <c r="A345">
        <v>344</v>
      </c>
      <c r="B345">
        <v>998</v>
      </c>
      <c r="C345">
        <v>56</v>
      </c>
      <c r="D345" s="2">
        <v>45763</v>
      </c>
      <c r="F345">
        <v>621.29999999999995</v>
      </c>
      <c r="G345">
        <v>1863.9</v>
      </c>
    </row>
    <row r="346" spans="1:7" x14ac:dyDescent="0.25">
      <c r="A346">
        <v>345</v>
      </c>
      <c r="B346">
        <v>958</v>
      </c>
      <c r="C346">
        <v>87</v>
      </c>
      <c r="D346" s="2">
        <v>45603</v>
      </c>
      <c r="F346">
        <v>39.89</v>
      </c>
      <c r="G346">
        <v>119.67</v>
      </c>
    </row>
    <row r="347" spans="1:7" x14ac:dyDescent="0.25">
      <c r="A347">
        <v>346</v>
      </c>
      <c r="B347">
        <v>943</v>
      </c>
      <c r="C347">
        <v>76</v>
      </c>
      <c r="D347" s="2">
        <v>45533</v>
      </c>
      <c r="F347">
        <v>371.33</v>
      </c>
      <c r="G347">
        <v>1856.65</v>
      </c>
    </row>
    <row r="348" spans="1:7" x14ac:dyDescent="0.25">
      <c r="A348">
        <v>347</v>
      </c>
      <c r="B348">
        <v>996</v>
      </c>
      <c r="C348">
        <v>46</v>
      </c>
      <c r="D348" s="2">
        <v>45465</v>
      </c>
      <c r="F348">
        <v>14.12</v>
      </c>
      <c r="G348">
        <v>70.599999999999994</v>
      </c>
    </row>
    <row r="349" spans="1:7" x14ac:dyDescent="0.25">
      <c r="A349">
        <v>348</v>
      </c>
      <c r="B349">
        <v>973</v>
      </c>
      <c r="C349">
        <v>94</v>
      </c>
      <c r="D349" s="2">
        <v>45487</v>
      </c>
      <c r="F349">
        <v>710.76</v>
      </c>
      <c r="G349">
        <v>710.76</v>
      </c>
    </row>
    <row r="350" spans="1:7" x14ac:dyDescent="0.25">
      <c r="A350">
        <v>349</v>
      </c>
      <c r="B350">
        <v>957</v>
      </c>
      <c r="C350">
        <v>85</v>
      </c>
      <c r="D350" s="2">
        <v>45508</v>
      </c>
      <c r="F350">
        <v>603.84</v>
      </c>
      <c r="G350">
        <v>3019.2</v>
      </c>
    </row>
    <row r="351" spans="1:7" x14ac:dyDescent="0.25">
      <c r="A351">
        <v>350</v>
      </c>
      <c r="B351">
        <v>968</v>
      </c>
      <c r="C351">
        <v>42</v>
      </c>
      <c r="D351" s="2">
        <v>45699</v>
      </c>
      <c r="F351">
        <v>69.38</v>
      </c>
      <c r="G351">
        <v>208.14</v>
      </c>
    </row>
    <row r="352" spans="1:7" x14ac:dyDescent="0.25">
      <c r="A352">
        <v>351</v>
      </c>
      <c r="B352">
        <v>987</v>
      </c>
      <c r="C352">
        <v>91</v>
      </c>
      <c r="D352" s="2">
        <v>45743</v>
      </c>
      <c r="F352">
        <v>245.87</v>
      </c>
      <c r="G352">
        <v>983.48</v>
      </c>
    </row>
    <row r="353" spans="1:7" x14ac:dyDescent="0.25">
      <c r="A353">
        <v>352</v>
      </c>
      <c r="B353">
        <v>873</v>
      </c>
      <c r="C353">
        <v>2</v>
      </c>
      <c r="D353" s="2">
        <v>45571</v>
      </c>
      <c r="F353">
        <v>58.44</v>
      </c>
      <c r="G353">
        <v>58.44</v>
      </c>
    </row>
    <row r="354" spans="1:7" x14ac:dyDescent="0.25">
      <c r="A354">
        <v>353</v>
      </c>
      <c r="B354">
        <v>952</v>
      </c>
      <c r="C354">
        <v>9</v>
      </c>
      <c r="D354" s="2">
        <v>45456</v>
      </c>
      <c r="F354">
        <v>798.08</v>
      </c>
      <c r="G354">
        <v>3990.4</v>
      </c>
    </row>
    <row r="355" spans="1:7" x14ac:dyDescent="0.25">
      <c r="A355">
        <v>354</v>
      </c>
      <c r="B355">
        <v>841</v>
      </c>
      <c r="C355">
        <v>74</v>
      </c>
      <c r="D355" s="2">
        <v>45688</v>
      </c>
      <c r="F355">
        <v>731.48</v>
      </c>
      <c r="G355">
        <v>2925.92</v>
      </c>
    </row>
    <row r="356" spans="1:7" x14ac:dyDescent="0.25">
      <c r="A356">
        <v>355</v>
      </c>
      <c r="B356">
        <v>983</v>
      </c>
      <c r="C356">
        <v>30</v>
      </c>
      <c r="D356" s="2">
        <v>45548</v>
      </c>
      <c r="F356">
        <v>180.2</v>
      </c>
      <c r="G356">
        <v>901</v>
      </c>
    </row>
    <row r="357" spans="1:7" x14ac:dyDescent="0.25">
      <c r="A357">
        <v>356</v>
      </c>
      <c r="B357">
        <v>973</v>
      </c>
      <c r="C357">
        <v>62</v>
      </c>
      <c r="D357" s="2">
        <v>45566</v>
      </c>
      <c r="F357">
        <v>380.66</v>
      </c>
      <c r="G357">
        <v>761.32</v>
      </c>
    </row>
    <row r="358" spans="1:7" x14ac:dyDescent="0.25">
      <c r="A358">
        <v>357</v>
      </c>
      <c r="B358">
        <v>984</v>
      </c>
      <c r="C358">
        <v>48</v>
      </c>
      <c r="D358" s="2">
        <v>45724</v>
      </c>
      <c r="F358">
        <v>259.82</v>
      </c>
      <c r="G358">
        <v>1299.0999999999999</v>
      </c>
    </row>
    <row r="359" spans="1:7" x14ac:dyDescent="0.25">
      <c r="A359">
        <v>358</v>
      </c>
      <c r="B359">
        <v>811</v>
      </c>
      <c r="C359">
        <v>32</v>
      </c>
      <c r="D359" s="2">
        <v>45751</v>
      </c>
      <c r="F359">
        <v>637.17999999999995</v>
      </c>
      <c r="G359">
        <v>3185.9</v>
      </c>
    </row>
    <row r="360" spans="1:7" x14ac:dyDescent="0.25">
      <c r="A360">
        <v>359</v>
      </c>
      <c r="B360">
        <v>973</v>
      </c>
      <c r="C360">
        <v>43</v>
      </c>
      <c r="D360" s="2">
        <v>45720</v>
      </c>
      <c r="F360">
        <v>889.53</v>
      </c>
      <c r="G360">
        <v>1779.06</v>
      </c>
    </row>
    <row r="361" spans="1:7" x14ac:dyDescent="0.25">
      <c r="A361">
        <v>360</v>
      </c>
      <c r="B361">
        <v>878</v>
      </c>
      <c r="C361">
        <v>47</v>
      </c>
      <c r="D361" s="2">
        <v>45640</v>
      </c>
      <c r="F361">
        <v>661.81</v>
      </c>
      <c r="G361">
        <v>1985.43</v>
      </c>
    </row>
    <row r="362" spans="1:7" x14ac:dyDescent="0.25">
      <c r="A362">
        <v>361</v>
      </c>
      <c r="B362">
        <v>991</v>
      </c>
      <c r="C362">
        <v>36</v>
      </c>
      <c r="D362" s="2">
        <v>45548</v>
      </c>
      <c r="F362">
        <v>323.29000000000002</v>
      </c>
      <c r="G362">
        <v>1616.45</v>
      </c>
    </row>
    <row r="363" spans="1:7" x14ac:dyDescent="0.25">
      <c r="A363">
        <v>362</v>
      </c>
      <c r="B363">
        <v>784</v>
      </c>
      <c r="C363">
        <v>30</v>
      </c>
      <c r="D363" s="2">
        <v>45542</v>
      </c>
      <c r="F363">
        <v>97.65</v>
      </c>
      <c r="G363">
        <v>390.6</v>
      </c>
    </row>
    <row r="364" spans="1:7" x14ac:dyDescent="0.25">
      <c r="A364">
        <v>363</v>
      </c>
      <c r="B364">
        <v>979</v>
      </c>
      <c r="C364">
        <v>11</v>
      </c>
      <c r="D364" s="2">
        <v>45573</v>
      </c>
      <c r="F364">
        <v>755.96</v>
      </c>
      <c r="G364">
        <v>1511.92</v>
      </c>
    </row>
    <row r="365" spans="1:7" x14ac:dyDescent="0.25">
      <c r="A365">
        <v>364</v>
      </c>
      <c r="B365">
        <v>453</v>
      </c>
      <c r="C365">
        <v>81</v>
      </c>
      <c r="D365" s="2">
        <v>45658</v>
      </c>
      <c r="F365">
        <v>160.25</v>
      </c>
      <c r="G365">
        <v>641</v>
      </c>
    </row>
    <row r="366" spans="1:7" x14ac:dyDescent="0.25">
      <c r="A366">
        <v>365</v>
      </c>
      <c r="B366">
        <v>987</v>
      </c>
      <c r="C366">
        <v>89</v>
      </c>
      <c r="D366" s="2">
        <v>45554</v>
      </c>
      <c r="F366">
        <v>974.07</v>
      </c>
      <c r="G366">
        <v>2922.21</v>
      </c>
    </row>
    <row r="367" spans="1:7" x14ac:dyDescent="0.25">
      <c r="A367">
        <v>366</v>
      </c>
      <c r="B367">
        <v>917</v>
      </c>
      <c r="C367">
        <v>75</v>
      </c>
      <c r="D367" s="2">
        <v>45537</v>
      </c>
      <c r="F367">
        <v>993.09</v>
      </c>
      <c r="G367">
        <v>4965.45</v>
      </c>
    </row>
    <row r="368" spans="1:7" x14ac:dyDescent="0.25">
      <c r="A368">
        <v>367</v>
      </c>
      <c r="B368">
        <v>885</v>
      </c>
      <c r="C368">
        <v>72</v>
      </c>
      <c r="D368" s="2">
        <v>45675</v>
      </c>
      <c r="F368">
        <v>939.9</v>
      </c>
      <c r="G368">
        <v>939.9</v>
      </c>
    </row>
    <row r="369" spans="1:7" x14ac:dyDescent="0.25">
      <c r="A369">
        <v>368</v>
      </c>
      <c r="B369">
        <v>986</v>
      </c>
      <c r="C369">
        <v>16</v>
      </c>
      <c r="D369" s="2">
        <v>45481</v>
      </c>
      <c r="F369">
        <v>822.87</v>
      </c>
      <c r="G369">
        <v>4114.3500000000004</v>
      </c>
    </row>
    <row r="370" spans="1:7" x14ac:dyDescent="0.25">
      <c r="A370">
        <v>369</v>
      </c>
      <c r="B370">
        <v>948</v>
      </c>
      <c r="C370">
        <v>12</v>
      </c>
      <c r="D370" s="2">
        <v>45786</v>
      </c>
      <c r="F370">
        <v>644.89</v>
      </c>
      <c r="G370">
        <v>1934.67</v>
      </c>
    </row>
    <row r="371" spans="1:7" x14ac:dyDescent="0.25">
      <c r="A371">
        <v>370</v>
      </c>
      <c r="B371">
        <v>970</v>
      </c>
      <c r="C371">
        <v>6</v>
      </c>
      <c r="D371" s="2">
        <v>45672</v>
      </c>
      <c r="F371">
        <v>13.16</v>
      </c>
      <c r="G371">
        <v>13.16</v>
      </c>
    </row>
    <row r="372" spans="1:7" x14ac:dyDescent="0.25">
      <c r="A372">
        <v>371</v>
      </c>
      <c r="B372">
        <v>961</v>
      </c>
      <c r="C372">
        <v>69</v>
      </c>
      <c r="D372" s="2">
        <v>45694</v>
      </c>
      <c r="F372">
        <v>561.04999999999995</v>
      </c>
      <c r="G372">
        <v>1683.15</v>
      </c>
    </row>
    <row r="373" spans="1:7" x14ac:dyDescent="0.25">
      <c r="A373">
        <v>372</v>
      </c>
      <c r="B373">
        <v>811</v>
      </c>
      <c r="C373">
        <v>22</v>
      </c>
      <c r="D373" s="2">
        <v>45622</v>
      </c>
      <c r="F373">
        <v>79.41</v>
      </c>
      <c r="G373">
        <v>238.23</v>
      </c>
    </row>
    <row r="374" spans="1:7" x14ac:dyDescent="0.25">
      <c r="A374">
        <v>373</v>
      </c>
      <c r="B374">
        <v>979</v>
      </c>
      <c r="C374">
        <v>77</v>
      </c>
      <c r="D374" s="2">
        <v>45682</v>
      </c>
      <c r="F374">
        <v>95.74</v>
      </c>
      <c r="G374">
        <v>287.22000000000003</v>
      </c>
    </row>
    <row r="375" spans="1:7" x14ac:dyDescent="0.25">
      <c r="A375">
        <v>374</v>
      </c>
      <c r="B375">
        <v>985</v>
      </c>
      <c r="C375">
        <v>94</v>
      </c>
      <c r="D375" s="2">
        <v>45486</v>
      </c>
      <c r="F375">
        <v>747.8</v>
      </c>
      <c r="G375">
        <v>2991.2</v>
      </c>
    </row>
    <row r="376" spans="1:7" x14ac:dyDescent="0.25">
      <c r="A376">
        <v>375</v>
      </c>
      <c r="B376">
        <v>957</v>
      </c>
      <c r="C376">
        <v>97</v>
      </c>
      <c r="D376" s="2">
        <v>45683</v>
      </c>
      <c r="F376">
        <v>522.88</v>
      </c>
      <c r="G376">
        <v>2091.52</v>
      </c>
    </row>
    <row r="377" spans="1:7" x14ac:dyDescent="0.25">
      <c r="A377">
        <v>376</v>
      </c>
      <c r="B377">
        <v>651</v>
      </c>
      <c r="C377">
        <v>20</v>
      </c>
      <c r="D377" s="2">
        <v>45688</v>
      </c>
      <c r="F377">
        <v>193.74</v>
      </c>
      <c r="G377">
        <v>387.48</v>
      </c>
    </row>
    <row r="378" spans="1:7" x14ac:dyDescent="0.25">
      <c r="A378">
        <v>377</v>
      </c>
      <c r="B378">
        <v>997</v>
      </c>
      <c r="C378">
        <v>4</v>
      </c>
      <c r="D378" s="2">
        <v>45429</v>
      </c>
      <c r="F378">
        <v>978.8</v>
      </c>
      <c r="G378">
        <v>1957.6</v>
      </c>
    </row>
    <row r="379" spans="1:7" x14ac:dyDescent="0.25">
      <c r="A379">
        <v>378</v>
      </c>
      <c r="B379">
        <v>973</v>
      </c>
      <c r="C379">
        <v>22</v>
      </c>
      <c r="D379" s="2">
        <v>45648</v>
      </c>
      <c r="F379">
        <v>259.66000000000003</v>
      </c>
      <c r="G379">
        <v>259.66000000000003</v>
      </c>
    </row>
    <row r="380" spans="1:7" x14ac:dyDescent="0.25">
      <c r="A380">
        <v>379</v>
      </c>
      <c r="B380">
        <v>948</v>
      </c>
      <c r="C380">
        <v>61</v>
      </c>
      <c r="D380" s="2">
        <v>45769</v>
      </c>
      <c r="F380">
        <v>897.56</v>
      </c>
      <c r="G380">
        <v>4487.8</v>
      </c>
    </row>
    <row r="381" spans="1:7" x14ac:dyDescent="0.25">
      <c r="A381">
        <v>380</v>
      </c>
      <c r="B381">
        <v>811</v>
      </c>
      <c r="C381">
        <v>54</v>
      </c>
      <c r="D381" s="2">
        <v>45569</v>
      </c>
      <c r="F381">
        <v>185.92</v>
      </c>
      <c r="G381">
        <v>185.92</v>
      </c>
    </row>
    <row r="382" spans="1:7" x14ac:dyDescent="0.25">
      <c r="A382">
        <v>381</v>
      </c>
      <c r="B382">
        <v>979</v>
      </c>
      <c r="C382">
        <v>26</v>
      </c>
      <c r="D382" s="2">
        <v>45427</v>
      </c>
      <c r="F382">
        <v>725.08</v>
      </c>
      <c r="G382">
        <v>725.08</v>
      </c>
    </row>
    <row r="383" spans="1:7" x14ac:dyDescent="0.25">
      <c r="A383">
        <v>382</v>
      </c>
      <c r="B383">
        <v>987</v>
      </c>
      <c r="C383">
        <v>60</v>
      </c>
      <c r="D383" s="2">
        <v>45699</v>
      </c>
      <c r="F383">
        <v>172.52</v>
      </c>
      <c r="G383">
        <v>345.04</v>
      </c>
    </row>
    <row r="384" spans="1:7" x14ac:dyDescent="0.25">
      <c r="A384">
        <v>383</v>
      </c>
      <c r="B384">
        <v>867</v>
      </c>
      <c r="C384">
        <v>5</v>
      </c>
      <c r="D384" s="2">
        <v>45430</v>
      </c>
      <c r="F384">
        <v>451.48</v>
      </c>
      <c r="G384">
        <v>1354.44</v>
      </c>
    </row>
    <row r="385" spans="1:7" x14ac:dyDescent="0.25">
      <c r="A385">
        <v>384</v>
      </c>
      <c r="B385">
        <v>878</v>
      </c>
      <c r="C385">
        <v>53</v>
      </c>
      <c r="D385" s="2">
        <v>45507</v>
      </c>
      <c r="F385">
        <v>188.86</v>
      </c>
      <c r="G385">
        <v>944.3</v>
      </c>
    </row>
    <row r="386" spans="1:7" x14ac:dyDescent="0.25">
      <c r="A386">
        <v>385</v>
      </c>
      <c r="B386">
        <v>890</v>
      </c>
      <c r="C386">
        <v>75</v>
      </c>
      <c r="D386" s="2">
        <v>45785</v>
      </c>
      <c r="F386">
        <v>491.05</v>
      </c>
      <c r="G386">
        <v>1964.2</v>
      </c>
    </row>
    <row r="387" spans="1:7" x14ac:dyDescent="0.25">
      <c r="A387">
        <v>386</v>
      </c>
      <c r="B387">
        <v>976</v>
      </c>
      <c r="C387">
        <v>6</v>
      </c>
      <c r="D387" s="2">
        <v>45436</v>
      </c>
      <c r="F387">
        <v>991.7</v>
      </c>
      <c r="G387">
        <v>2975.1</v>
      </c>
    </row>
    <row r="388" spans="1:7" x14ac:dyDescent="0.25">
      <c r="A388">
        <v>387</v>
      </c>
      <c r="B388">
        <v>964</v>
      </c>
      <c r="C388">
        <v>71</v>
      </c>
      <c r="D388" s="2">
        <v>45630</v>
      </c>
      <c r="F388">
        <v>212.36</v>
      </c>
      <c r="G388">
        <v>849.44</v>
      </c>
    </row>
    <row r="389" spans="1:7" x14ac:dyDescent="0.25">
      <c r="A389">
        <v>388</v>
      </c>
      <c r="B389">
        <v>901</v>
      </c>
      <c r="C389">
        <v>15</v>
      </c>
      <c r="D389" s="2">
        <v>45602</v>
      </c>
      <c r="F389">
        <v>210.3</v>
      </c>
      <c r="G389">
        <v>630.9</v>
      </c>
    </row>
    <row r="390" spans="1:7" x14ac:dyDescent="0.25">
      <c r="A390">
        <v>389</v>
      </c>
      <c r="B390">
        <v>705</v>
      </c>
      <c r="C390">
        <v>18</v>
      </c>
      <c r="D390" s="2">
        <v>45541</v>
      </c>
      <c r="F390">
        <v>104.29</v>
      </c>
      <c r="G390">
        <v>208.58</v>
      </c>
    </row>
    <row r="391" spans="1:7" x14ac:dyDescent="0.25">
      <c r="A391">
        <v>390</v>
      </c>
      <c r="B391">
        <v>933</v>
      </c>
      <c r="C391">
        <v>94</v>
      </c>
      <c r="D391" s="2">
        <v>45541</v>
      </c>
      <c r="F391">
        <v>571.97</v>
      </c>
      <c r="G391">
        <v>571.97</v>
      </c>
    </row>
    <row r="392" spans="1:7" x14ac:dyDescent="0.25">
      <c r="A392">
        <v>391</v>
      </c>
      <c r="B392">
        <v>907</v>
      </c>
      <c r="C392">
        <v>47</v>
      </c>
      <c r="D392" s="2">
        <v>45593</v>
      </c>
      <c r="F392">
        <v>699.08</v>
      </c>
      <c r="G392">
        <v>699.08</v>
      </c>
    </row>
    <row r="393" spans="1:7" x14ac:dyDescent="0.25">
      <c r="A393">
        <v>392</v>
      </c>
      <c r="B393">
        <v>752</v>
      </c>
      <c r="C393">
        <v>24</v>
      </c>
      <c r="D393" s="2">
        <v>45625</v>
      </c>
      <c r="F393">
        <v>842.55</v>
      </c>
      <c r="G393">
        <v>1685.1</v>
      </c>
    </row>
    <row r="394" spans="1:7" x14ac:dyDescent="0.25">
      <c r="A394">
        <v>393</v>
      </c>
      <c r="B394">
        <v>987</v>
      </c>
      <c r="C394">
        <v>2</v>
      </c>
      <c r="D394" s="2">
        <v>45558</v>
      </c>
      <c r="F394">
        <v>974.93</v>
      </c>
      <c r="G394">
        <v>974.93</v>
      </c>
    </row>
    <row r="395" spans="1:7" x14ac:dyDescent="0.25">
      <c r="A395">
        <v>394</v>
      </c>
      <c r="B395">
        <v>989</v>
      </c>
      <c r="C395">
        <v>94</v>
      </c>
      <c r="D395" s="2">
        <v>45541</v>
      </c>
      <c r="F395">
        <v>655.16999999999996</v>
      </c>
      <c r="G395">
        <v>1310.3399999999999</v>
      </c>
    </row>
    <row r="396" spans="1:7" x14ac:dyDescent="0.25">
      <c r="A396">
        <v>395</v>
      </c>
      <c r="B396">
        <v>990</v>
      </c>
      <c r="C396">
        <v>91</v>
      </c>
      <c r="D396" s="2">
        <v>45759</v>
      </c>
      <c r="F396">
        <v>274.37</v>
      </c>
      <c r="G396">
        <v>1097.48</v>
      </c>
    </row>
    <row r="397" spans="1:7" x14ac:dyDescent="0.25">
      <c r="A397">
        <v>396</v>
      </c>
      <c r="B397">
        <v>924</v>
      </c>
      <c r="C397">
        <v>67</v>
      </c>
      <c r="D397" s="2">
        <v>45609</v>
      </c>
      <c r="F397">
        <v>290.37</v>
      </c>
      <c r="G397">
        <v>871.11</v>
      </c>
    </row>
    <row r="398" spans="1:7" x14ac:dyDescent="0.25">
      <c r="A398">
        <v>397</v>
      </c>
      <c r="B398">
        <v>952</v>
      </c>
      <c r="C398">
        <v>84</v>
      </c>
      <c r="D398" s="2">
        <v>45552</v>
      </c>
      <c r="F398">
        <v>945.47</v>
      </c>
      <c r="G398">
        <v>945.47</v>
      </c>
    </row>
    <row r="399" spans="1:7" x14ac:dyDescent="0.25">
      <c r="A399">
        <v>398</v>
      </c>
      <c r="B399">
        <v>901</v>
      </c>
      <c r="C399">
        <v>84</v>
      </c>
      <c r="D399" s="2">
        <v>45475</v>
      </c>
      <c r="F399">
        <v>72.44</v>
      </c>
      <c r="G399">
        <v>144.88</v>
      </c>
    </row>
    <row r="400" spans="1:7" x14ac:dyDescent="0.25">
      <c r="A400">
        <v>399</v>
      </c>
      <c r="B400">
        <v>769</v>
      </c>
      <c r="C400">
        <v>46</v>
      </c>
      <c r="D400" s="2">
        <v>45752</v>
      </c>
      <c r="F400">
        <v>224.34</v>
      </c>
      <c r="G400">
        <v>224.34</v>
      </c>
    </row>
    <row r="401" spans="1:7" x14ac:dyDescent="0.25">
      <c r="A401">
        <v>400</v>
      </c>
      <c r="B401">
        <v>956</v>
      </c>
      <c r="C401">
        <v>55</v>
      </c>
      <c r="D401" s="2">
        <v>45527</v>
      </c>
      <c r="F401">
        <v>785.32</v>
      </c>
      <c r="G401">
        <v>2355.96</v>
      </c>
    </row>
    <row r="402" spans="1:7" x14ac:dyDescent="0.25">
      <c r="A402">
        <v>401</v>
      </c>
      <c r="B402">
        <v>986</v>
      </c>
      <c r="C402">
        <v>10</v>
      </c>
      <c r="D402" s="2">
        <v>45543</v>
      </c>
      <c r="F402">
        <v>678.6</v>
      </c>
      <c r="G402">
        <v>2714.4</v>
      </c>
    </row>
    <row r="403" spans="1:7" x14ac:dyDescent="0.25">
      <c r="A403">
        <v>402</v>
      </c>
      <c r="B403">
        <v>924</v>
      </c>
      <c r="C403">
        <v>79</v>
      </c>
      <c r="D403" s="2">
        <v>45493</v>
      </c>
      <c r="F403">
        <v>411.78</v>
      </c>
      <c r="G403">
        <v>823.56</v>
      </c>
    </row>
    <row r="404" spans="1:7" x14ac:dyDescent="0.25">
      <c r="A404">
        <v>403</v>
      </c>
      <c r="B404">
        <v>924</v>
      </c>
      <c r="C404">
        <v>89</v>
      </c>
      <c r="D404" s="2">
        <v>45486</v>
      </c>
      <c r="F404">
        <v>545.71</v>
      </c>
      <c r="G404">
        <v>2182.84</v>
      </c>
    </row>
    <row r="405" spans="1:7" x14ac:dyDescent="0.25">
      <c r="A405">
        <v>404</v>
      </c>
      <c r="B405">
        <v>956</v>
      </c>
      <c r="C405">
        <v>83</v>
      </c>
      <c r="D405" s="2">
        <v>45544</v>
      </c>
      <c r="F405">
        <v>443.77</v>
      </c>
      <c r="G405">
        <v>887.54</v>
      </c>
    </row>
    <row r="406" spans="1:7" x14ac:dyDescent="0.25">
      <c r="A406">
        <v>405</v>
      </c>
      <c r="B406">
        <v>922</v>
      </c>
      <c r="C406">
        <v>19</v>
      </c>
      <c r="D406" s="2">
        <v>45554</v>
      </c>
      <c r="F406">
        <v>614.86</v>
      </c>
      <c r="G406">
        <v>2459.44</v>
      </c>
    </row>
    <row r="407" spans="1:7" x14ac:dyDescent="0.25">
      <c r="A407">
        <v>406</v>
      </c>
      <c r="B407">
        <v>968</v>
      </c>
      <c r="C407">
        <v>20</v>
      </c>
      <c r="D407" s="2">
        <v>45462</v>
      </c>
      <c r="F407">
        <v>414.15</v>
      </c>
      <c r="G407">
        <v>828.3</v>
      </c>
    </row>
    <row r="408" spans="1:7" x14ac:dyDescent="0.25">
      <c r="A408">
        <v>407</v>
      </c>
      <c r="B408">
        <v>996</v>
      </c>
      <c r="C408">
        <v>76</v>
      </c>
      <c r="D408" s="2">
        <v>45473</v>
      </c>
      <c r="F408">
        <v>261.08</v>
      </c>
      <c r="G408">
        <v>522.16</v>
      </c>
    </row>
    <row r="409" spans="1:7" x14ac:dyDescent="0.25">
      <c r="A409">
        <v>408</v>
      </c>
      <c r="B409">
        <v>966</v>
      </c>
      <c r="C409">
        <v>44</v>
      </c>
      <c r="D409" s="2">
        <v>45511</v>
      </c>
      <c r="F409">
        <v>584.95000000000005</v>
      </c>
      <c r="G409">
        <v>2339.8000000000002</v>
      </c>
    </row>
    <row r="410" spans="1:7" x14ac:dyDescent="0.25">
      <c r="A410">
        <v>409</v>
      </c>
      <c r="B410">
        <v>939</v>
      </c>
      <c r="C410">
        <v>29</v>
      </c>
      <c r="D410" s="2">
        <v>45643</v>
      </c>
      <c r="F410">
        <v>590.6</v>
      </c>
      <c r="G410">
        <v>590.6</v>
      </c>
    </row>
    <row r="411" spans="1:7" x14ac:dyDescent="0.25">
      <c r="A411">
        <v>410</v>
      </c>
      <c r="B411">
        <v>957</v>
      </c>
      <c r="C411">
        <v>64</v>
      </c>
      <c r="D411" s="2">
        <v>45660</v>
      </c>
      <c r="F411">
        <v>819.83</v>
      </c>
      <c r="G411">
        <v>4099.1499999999996</v>
      </c>
    </row>
    <row r="412" spans="1:7" x14ac:dyDescent="0.25">
      <c r="A412">
        <v>411</v>
      </c>
      <c r="B412">
        <v>961</v>
      </c>
      <c r="C412">
        <v>2</v>
      </c>
      <c r="D412" s="2">
        <v>45497</v>
      </c>
      <c r="F412">
        <v>154.41</v>
      </c>
      <c r="G412">
        <v>308.82</v>
      </c>
    </row>
    <row r="413" spans="1:7" x14ac:dyDescent="0.25">
      <c r="A413">
        <v>412</v>
      </c>
      <c r="B413">
        <v>626</v>
      </c>
      <c r="C413">
        <v>22</v>
      </c>
      <c r="D413" s="2">
        <v>45451</v>
      </c>
      <c r="F413">
        <v>234.68</v>
      </c>
      <c r="G413">
        <v>469.36</v>
      </c>
    </row>
    <row r="414" spans="1:7" x14ac:dyDescent="0.25">
      <c r="A414">
        <v>413</v>
      </c>
      <c r="B414">
        <v>942</v>
      </c>
      <c r="C414">
        <v>65</v>
      </c>
      <c r="D414" s="2">
        <v>45631</v>
      </c>
      <c r="F414">
        <v>769.89</v>
      </c>
      <c r="G414">
        <v>3079.56</v>
      </c>
    </row>
    <row r="415" spans="1:7" x14ac:dyDescent="0.25">
      <c r="A415">
        <v>414</v>
      </c>
      <c r="B415">
        <v>905</v>
      </c>
      <c r="C415">
        <v>28</v>
      </c>
      <c r="D415" s="2">
        <v>45778</v>
      </c>
      <c r="F415">
        <v>356.87</v>
      </c>
      <c r="G415">
        <v>1070.6099999999999</v>
      </c>
    </row>
    <row r="416" spans="1:7" x14ac:dyDescent="0.25">
      <c r="A416">
        <v>415</v>
      </c>
      <c r="B416">
        <v>932</v>
      </c>
      <c r="C416">
        <v>93</v>
      </c>
      <c r="D416" s="2">
        <v>45523</v>
      </c>
      <c r="F416">
        <v>346.92</v>
      </c>
      <c r="G416">
        <v>1734.6</v>
      </c>
    </row>
    <row r="417" spans="1:7" x14ac:dyDescent="0.25">
      <c r="A417">
        <v>416</v>
      </c>
      <c r="B417">
        <v>992</v>
      </c>
      <c r="C417">
        <v>49</v>
      </c>
      <c r="D417" s="2">
        <v>45766</v>
      </c>
      <c r="F417">
        <v>441.35</v>
      </c>
      <c r="G417">
        <v>882.7</v>
      </c>
    </row>
    <row r="418" spans="1:7" x14ac:dyDescent="0.25">
      <c r="A418">
        <v>417</v>
      </c>
      <c r="B418">
        <v>952</v>
      </c>
      <c r="C418">
        <v>48</v>
      </c>
      <c r="D418" s="2">
        <v>45438</v>
      </c>
      <c r="F418">
        <v>61.49</v>
      </c>
      <c r="G418">
        <v>245.96</v>
      </c>
    </row>
    <row r="419" spans="1:7" x14ac:dyDescent="0.25">
      <c r="A419">
        <v>418</v>
      </c>
      <c r="B419">
        <v>969</v>
      </c>
      <c r="C419">
        <v>22</v>
      </c>
      <c r="D419" s="2">
        <v>45554</v>
      </c>
      <c r="F419">
        <v>224.2</v>
      </c>
      <c r="G419">
        <v>672.6</v>
      </c>
    </row>
    <row r="420" spans="1:7" x14ac:dyDescent="0.25">
      <c r="A420">
        <v>419</v>
      </c>
      <c r="B420">
        <v>821</v>
      </c>
      <c r="C420">
        <v>58</v>
      </c>
      <c r="D420" s="2">
        <v>45655</v>
      </c>
      <c r="F420">
        <v>923.35</v>
      </c>
      <c r="G420">
        <v>923.35</v>
      </c>
    </row>
    <row r="421" spans="1:7" x14ac:dyDescent="0.25">
      <c r="A421">
        <v>420</v>
      </c>
      <c r="B421">
        <v>973</v>
      </c>
      <c r="C421">
        <v>56</v>
      </c>
      <c r="D421" s="2">
        <v>45733</v>
      </c>
      <c r="F421">
        <v>560.44000000000005</v>
      </c>
      <c r="G421">
        <v>1681.32</v>
      </c>
    </row>
    <row r="422" spans="1:7" x14ac:dyDescent="0.25">
      <c r="A422">
        <v>421</v>
      </c>
      <c r="B422">
        <v>878</v>
      </c>
      <c r="C422">
        <v>44</v>
      </c>
      <c r="D422" s="2">
        <v>45529</v>
      </c>
      <c r="F422">
        <v>281.77</v>
      </c>
      <c r="G422">
        <v>1408.85</v>
      </c>
    </row>
    <row r="423" spans="1:7" x14ac:dyDescent="0.25">
      <c r="A423">
        <v>422</v>
      </c>
      <c r="B423">
        <v>979</v>
      </c>
      <c r="C423">
        <v>82</v>
      </c>
      <c r="D423" s="2">
        <v>45703</v>
      </c>
      <c r="F423">
        <v>290.81</v>
      </c>
      <c r="G423">
        <v>1163.24</v>
      </c>
    </row>
    <row r="424" spans="1:7" x14ac:dyDescent="0.25">
      <c r="A424">
        <v>423</v>
      </c>
      <c r="B424">
        <v>885</v>
      </c>
      <c r="C424">
        <v>38</v>
      </c>
      <c r="D424" s="2">
        <v>45562</v>
      </c>
      <c r="F424">
        <v>574.74</v>
      </c>
      <c r="G424">
        <v>1149.48</v>
      </c>
    </row>
    <row r="425" spans="1:7" x14ac:dyDescent="0.25">
      <c r="A425">
        <v>424</v>
      </c>
      <c r="B425">
        <v>837</v>
      </c>
      <c r="C425">
        <v>27</v>
      </c>
      <c r="D425" s="2">
        <v>45638</v>
      </c>
      <c r="F425">
        <v>748.41</v>
      </c>
      <c r="G425">
        <v>3742.05</v>
      </c>
    </row>
    <row r="426" spans="1:7" x14ac:dyDescent="0.25">
      <c r="A426">
        <v>425</v>
      </c>
      <c r="B426">
        <v>897</v>
      </c>
      <c r="C426">
        <v>33</v>
      </c>
      <c r="D426" s="2">
        <v>45520</v>
      </c>
      <c r="F426">
        <v>143.84</v>
      </c>
      <c r="G426">
        <v>431.52</v>
      </c>
    </row>
    <row r="427" spans="1:7" x14ac:dyDescent="0.25">
      <c r="A427">
        <v>426</v>
      </c>
      <c r="B427">
        <v>977</v>
      </c>
      <c r="C427">
        <v>24</v>
      </c>
      <c r="D427" s="2">
        <v>45492</v>
      </c>
      <c r="F427">
        <v>690.22</v>
      </c>
      <c r="G427">
        <v>690.22</v>
      </c>
    </row>
    <row r="428" spans="1:7" x14ac:dyDescent="0.25">
      <c r="A428">
        <v>427</v>
      </c>
      <c r="B428">
        <v>975</v>
      </c>
      <c r="C428">
        <v>12</v>
      </c>
      <c r="D428" s="2">
        <v>45550</v>
      </c>
      <c r="F428">
        <v>125.58</v>
      </c>
      <c r="G428">
        <v>376.74</v>
      </c>
    </row>
    <row r="429" spans="1:7" x14ac:dyDescent="0.25">
      <c r="A429">
        <v>428</v>
      </c>
      <c r="B429">
        <v>934</v>
      </c>
      <c r="C429">
        <v>47</v>
      </c>
      <c r="D429" s="2">
        <v>45521</v>
      </c>
      <c r="F429">
        <v>91.81</v>
      </c>
      <c r="G429">
        <v>183.62</v>
      </c>
    </row>
    <row r="430" spans="1:7" x14ac:dyDescent="0.25">
      <c r="A430">
        <v>429</v>
      </c>
      <c r="B430">
        <v>950</v>
      </c>
      <c r="C430">
        <v>98</v>
      </c>
      <c r="D430" s="2">
        <v>45570</v>
      </c>
      <c r="F430">
        <v>248.89</v>
      </c>
      <c r="G430">
        <v>497.78</v>
      </c>
    </row>
    <row r="431" spans="1:7" x14ac:dyDescent="0.25">
      <c r="A431">
        <v>430</v>
      </c>
      <c r="B431">
        <v>936</v>
      </c>
      <c r="C431">
        <v>47</v>
      </c>
      <c r="D431" s="2">
        <v>45738</v>
      </c>
      <c r="F431">
        <v>470.54</v>
      </c>
      <c r="G431">
        <v>1882.16</v>
      </c>
    </row>
    <row r="432" spans="1:7" x14ac:dyDescent="0.25">
      <c r="A432">
        <v>431</v>
      </c>
      <c r="B432">
        <v>885</v>
      </c>
      <c r="C432">
        <v>36</v>
      </c>
      <c r="D432" s="2">
        <v>45463</v>
      </c>
      <c r="F432">
        <v>553.47</v>
      </c>
      <c r="G432">
        <v>2767.35</v>
      </c>
    </row>
    <row r="433" spans="1:7" x14ac:dyDescent="0.25">
      <c r="A433">
        <v>432</v>
      </c>
      <c r="B433">
        <v>950</v>
      </c>
      <c r="C433">
        <v>100</v>
      </c>
      <c r="D433" s="2">
        <v>45699</v>
      </c>
      <c r="F433">
        <v>710.32</v>
      </c>
      <c r="G433">
        <v>1420.64</v>
      </c>
    </row>
    <row r="434" spans="1:7" x14ac:dyDescent="0.25">
      <c r="A434">
        <v>433</v>
      </c>
      <c r="B434">
        <v>917</v>
      </c>
      <c r="C434">
        <v>84</v>
      </c>
      <c r="D434" s="2">
        <v>45693</v>
      </c>
      <c r="F434">
        <v>99.74</v>
      </c>
      <c r="G434">
        <v>99.74</v>
      </c>
    </row>
    <row r="435" spans="1:7" x14ac:dyDescent="0.25">
      <c r="A435">
        <v>434</v>
      </c>
      <c r="B435">
        <v>705</v>
      </c>
      <c r="C435">
        <v>11</v>
      </c>
      <c r="D435" s="2">
        <v>45490</v>
      </c>
      <c r="F435">
        <v>979.35</v>
      </c>
      <c r="G435">
        <v>2938.05</v>
      </c>
    </row>
    <row r="436" spans="1:7" x14ac:dyDescent="0.25">
      <c r="A436">
        <v>435</v>
      </c>
      <c r="B436">
        <v>925</v>
      </c>
      <c r="C436">
        <v>47</v>
      </c>
      <c r="D436" s="2">
        <v>45775</v>
      </c>
      <c r="F436">
        <v>716.63</v>
      </c>
      <c r="G436">
        <v>2149.89</v>
      </c>
    </row>
    <row r="437" spans="1:7" x14ac:dyDescent="0.25">
      <c r="A437">
        <v>436</v>
      </c>
      <c r="B437">
        <v>851</v>
      </c>
      <c r="C437">
        <v>35</v>
      </c>
      <c r="D437" s="2">
        <v>45737</v>
      </c>
      <c r="F437">
        <v>97.34</v>
      </c>
      <c r="G437">
        <v>194.68</v>
      </c>
    </row>
    <row r="438" spans="1:7" x14ac:dyDescent="0.25">
      <c r="A438">
        <v>437</v>
      </c>
      <c r="B438">
        <v>992</v>
      </c>
      <c r="C438">
        <v>75</v>
      </c>
      <c r="D438" s="2">
        <v>45587</v>
      </c>
      <c r="F438">
        <v>147.79</v>
      </c>
      <c r="G438">
        <v>443.37</v>
      </c>
    </row>
    <row r="439" spans="1:7" x14ac:dyDescent="0.25">
      <c r="A439">
        <v>438</v>
      </c>
      <c r="B439">
        <v>907</v>
      </c>
      <c r="C439">
        <v>34</v>
      </c>
      <c r="D439" s="2">
        <v>45555</v>
      </c>
      <c r="F439">
        <v>444.38</v>
      </c>
      <c r="G439">
        <v>1333.14</v>
      </c>
    </row>
    <row r="440" spans="1:7" x14ac:dyDescent="0.25">
      <c r="A440">
        <v>439</v>
      </c>
      <c r="B440">
        <v>985</v>
      </c>
      <c r="C440">
        <v>52</v>
      </c>
      <c r="D440" s="2">
        <v>45624</v>
      </c>
      <c r="F440">
        <v>438.59</v>
      </c>
      <c r="G440">
        <v>2192.9499999999998</v>
      </c>
    </row>
    <row r="441" spans="1:7" x14ac:dyDescent="0.25">
      <c r="A441">
        <v>440</v>
      </c>
      <c r="B441">
        <v>940</v>
      </c>
      <c r="C441">
        <v>36</v>
      </c>
      <c r="D441" s="2">
        <v>45623</v>
      </c>
      <c r="F441">
        <v>446.93</v>
      </c>
      <c r="G441">
        <v>446.93</v>
      </c>
    </row>
    <row r="442" spans="1:7" x14ac:dyDescent="0.25">
      <c r="A442">
        <v>441</v>
      </c>
      <c r="B442">
        <v>994</v>
      </c>
      <c r="C442">
        <v>64</v>
      </c>
      <c r="D442" s="2">
        <v>45574</v>
      </c>
      <c r="F442">
        <v>122.89</v>
      </c>
      <c r="G442">
        <v>491.56</v>
      </c>
    </row>
    <row r="443" spans="1:7" x14ac:dyDescent="0.25">
      <c r="A443">
        <v>442</v>
      </c>
      <c r="B443">
        <v>966</v>
      </c>
      <c r="C443">
        <v>92</v>
      </c>
      <c r="D443" s="2">
        <v>45776</v>
      </c>
      <c r="F443">
        <v>262.99</v>
      </c>
      <c r="G443">
        <v>1051.96</v>
      </c>
    </row>
    <row r="444" spans="1:7" x14ac:dyDescent="0.25">
      <c r="A444">
        <v>443</v>
      </c>
      <c r="B444">
        <v>933</v>
      </c>
      <c r="C444">
        <v>87</v>
      </c>
      <c r="D444" s="2">
        <v>45456</v>
      </c>
      <c r="F444">
        <v>888.87</v>
      </c>
      <c r="G444">
        <v>888.87</v>
      </c>
    </row>
    <row r="445" spans="1:7" x14ac:dyDescent="0.25">
      <c r="A445">
        <v>444</v>
      </c>
      <c r="B445">
        <v>936</v>
      </c>
      <c r="C445">
        <v>18</v>
      </c>
      <c r="D445" s="2">
        <v>45638</v>
      </c>
      <c r="F445">
        <v>407.95</v>
      </c>
      <c r="G445">
        <v>2039.75</v>
      </c>
    </row>
    <row r="446" spans="1:7" x14ac:dyDescent="0.25">
      <c r="A446">
        <v>445</v>
      </c>
      <c r="B446">
        <v>784</v>
      </c>
      <c r="C446">
        <v>15</v>
      </c>
      <c r="D446" s="2">
        <v>45566</v>
      </c>
      <c r="F446">
        <v>162.06</v>
      </c>
      <c r="G446">
        <v>648.24</v>
      </c>
    </row>
    <row r="447" spans="1:7" x14ac:dyDescent="0.25">
      <c r="A447">
        <v>446</v>
      </c>
      <c r="B447">
        <v>977</v>
      </c>
      <c r="C447">
        <v>74</v>
      </c>
      <c r="D447" s="2">
        <v>45684</v>
      </c>
      <c r="F447">
        <v>324.52</v>
      </c>
      <c r="G447">
        <v>1298.08</v>
      </c>
    </row>
    <row r="448" spans="1:7" x14ac:dyDescent="0.25">
      <c r="A448">
        <v>447</v>
      </c>
      <c r="B448">
        <v>841</v>
      </c>
      <c r="C448">
        <v>23</v>
      </c>
      <c r="D448" s="2">
        <v>45446</v>
      </c>
      <c r="F448">
        <v>647.35</v>
      </c>
      <c r="G448">
        <v>647.35</v>
      </c>
    </row>
    <row r="449" spans="1:7" x14ac:dyDescent="0.25">
      <c r="A449">
        <v>448</v>
      </c>
      <c r="B449">
        <v>651</v>
      </c>
      <c r="C449">
        <v>34</v>
      </c>
      <c r="D449" s="2">
        <v>45685</v>
      </c>
      <c r="F449">
        <v>373.54</v>
      </c>
      <c r="G449">
        <v>1120.6199999999999</v>
      </c>
    </row>
    <row r="450" spans="1:7" x14ac:dyDescent="0.25">
      <c r="A450">
        <v>449</v>
      </c>
      <c r="B450">
        <v>948</v>
      </c>
      <c r="C450">
        <v>21</v>
      </c>
      <c r="D450" s="2">
        <v>45505</v>
      </c>
      <c r="F450">
        <v>234.23</v>
      </c>
      <c r="G450">
        <v>234.23</v>
      </c>
    </row>
    <row r="451" spans="1:7" x14ac:dyDescent="0.25">
      <c r="A451">
        <v>450</v>
      </c>
      <c r="B451">
        <v>932</v>
      </c>
      <c r="C451">
        <v>70</v>
      </c>
      <c r="D451" s="2">
        <v>45476</v>
      </c>
      <c r="F451">
        <v>568.44000000000005</v>
      </c>
      <c r="G451">
        <v>1136.8800000000001</v>
      </c>
    </row>
    <row r="452" spans="1:7" x14ac:dyDescent="0.25">
      <c r="A452">
        <v>451</v>
      </c>
      <c r="B452">
        <v>893</v>
      </c>
      <c r="C452">
        <v>93</v>
      </c>
      <c r="D452" s="2">
        <v>45478</v>
      </c>
      <c r="F452">
        <v>731.19</v>
      </c>
      <c r="G452">
        <v>1462.38</v>
      </c>
    </row>
    <row r="453" spans="1:7" x14ac:dyDescent="0.25">
      <c r="A453">
        <v>452</v>
      </c>
      <c r="B453">
        <v>996</v>
      </c>
      <c r="C453">
        <v>76</v>
      </c>
      <c r="D453" s="2">
        <v>45771</v>
      </c>
      <c r="F453">
        <v>984.92</v>
      </c>
      <c r="G453">
        <v>984.92</v>
      </c>
    </row>
    <row r="454" spans="1:7" x14ac:dyDescent="0.25">
      <c r="A454">
        <v>453</v>
      </c>
      <c r="B454">
        <v>453</v>
      </c>
      <c r="C454">
        <v>94</v>
      </c>
      <c r="D454" s="2">
        <v>45651</v>
      </c>
      <c r="F454">
        <v>268.2</v>
      </c>
      <c r="G454">
        <v>1072.8</v>
      </c>
    </row>
    <row r="455" spans="1:7" x14ac:dyDescent="0.25">
      <c r="A455">
        <v>454</v>
      </c>
      <c r="B455">
        <v>881</v>
      </c>
      <c r="C455">
        <v>89</v>
      </c>
      <c r="D455" s="2">
        <v>45473</v>
      </c>
      <c r="F455">
        <v>212.36</v>
      </c>
      <c r="G455">
        <v>637.08000000000004</v>
      </c>
    </row>
    <row r="456" spans="1:7" x14ac:dyDescent="0.25">
      <c r="A456">
        <v>455</v>
      </c>
      <c r="B456">
        <v>995</v>
      </c>
      <c r="C456">
        <v>49</v>
      </c>
      <c r="D456" s="2">
        <v>45753</v>
      </c>
      <c r="F456">
        <v>221.23</v>
      </c>
      <c r="G456">
        <v>221.23</v>
      </c>
    </row>
    <row r="457" spans="1:7" x14ac:dyDescent="0.25">
      <c r="A457">
        <v>456</v>
      </c>
      <c r="B457">
        <v>784</v>
      </c>
      <c r="C457">
        <v>82</v>
      </c>
      <c r="D457" s="2">
        <v>45712</v>
      </c>
      <c r="F457">
        <v>559.23</v>
      </c>
      <c r="G457">
        <v>559.23</v>
      </c>
    </row>
    <row r="458" spans="1:7" x14ac:dyDescent="0.25">
      <c r="A458">
        <v>457</v>
      </c>
      <c r="B458">
        <v>987</v>
      </c>
      <c r="C458">
        <v>89</v>
      </c>
      <c r="D458" s="2">
        <v>45447</v>
      </c>
      <c r="F458">
        <v>430.42</v>
      </c>
      <c r="G458">
        <v>1291.26</v>
      </c>
    </row>
    <row r="459" spans="1:7" x14ac:dyDescent="0.25">
      <c r="A459">
        <v>458</v>
      </c>
      <c r="B459">
        <v>961</v>
      </c>
      <c r="C459">
        <v>65</v>
      </c>
      <c r="D459" s="2">
        <v>45586</v>
      </c>
      <c r="F459">
        <v>449.01</v>
      </c>
      <c r="G459">
        <v>1796.04</v>
      </c>
    </row>
    <row r="460" spans="1:7" x14ac:dyDescent="0.25">
      <c r="A460">
        <v>459</v>
      </c>
      <c r="B460">
        <v>969</v>
      </c>
      <c r="C460">
        <v>98</v>
      </c>
      <c r="D460" s="2">
        <v>45613</v>
      </c>
      <c r="F460">
        <v>829.16</v>
      </c>
      <c r="G460">
        <v>2487.48</v>
      </c>
    </row>
    <row r="461" spans="1:7" x14ac:dyDescent="0.25">
      <c r="A461">
        <v>460</v>
      </c>
      <c r="B461">
        <v>988</v>
      </c>
      <c r="C461">
        <v>38</v>
      </c>
      <c r="D461" s="2">
        <v>45685</v>
      </c>
      <c r="F461">
        <v>781.17</v>
      </c>
      <c r="G461">
        <v>2343.5100000000002</v>
      </c>
    </row>
    <row r="462" spans="1:7" x14ac:dyDescent="0.25">
      <c r="A462">
        <v>461</v>
      </c>
      <c r="B462">
        <v>948</v>
      </c>
      <c r="C462">
        <v>2</v>
      </c>
      <c r="D462" s="2">
        <v>45624</v>
      </c>
      <c r="F462">
        <v>230.64</v>
      </c>
      <c r="G462">
        <v>1153.2</v>
      </c>
    </row>
    <row r="463" spans="1:7" x14ac:dyDescent="0.25">
      <c r="A463">
        <v>462</v>
      </c>
      <c r="B463">
        <v>987</v>
      </c>
      <c r="C463">
        <v>82</v>
      </c>
      <c r="D463" s="2">
        <v>45719</v>
      </c>
      <c r="F463">
        <v>449.69</v>
      </c>
      <c r="G463">
        <v>1349.07</v>
      </c>
    </row>
    <row r="464" spans="1:7" x14ac:dyDescent="0.25">
      <c r="A464">
        <v>463</v>
      </c>
      <c r="B464">
        <v>984</v>
      </c>
      <c r="C464">
        <v>51</v>
      </c>
      <c r="D464" s="2">
        <v>45567</v>
      </c>
      <c r="F464">
        <v>515.77</v>
      </c>
      <c r="G464">
        <v>515.77</v>
      </c>
    </row>
    <row r="465" spans="1:7" x14ac:dyDescent="0.25">
      <c r="A465">
        <v>464</v>
      </c>
      <c r="B465">
        <v>986</v>
      </c>
      <c r="C465">
        <v>26</v>
      </c>
      <c r="D465" s="2">
        <v>45584</v>
      </c>
      <c r="F465">
        <v>326.44</v>
      </c>
      <c r="G465">
        <v>1305.76</v>
      </c>
    </row>
    <row r="466" spans="1:7" x14ac:dyDescent="0.25">
      <c r="A466">
        <v>465</v>
      </c>
      <c r="B466">
        <v>970</v>
      </c>
      <c r="C466">
        <v>26</v>
      </c>
      <c r="D466" s="2">
        <v>45636</v>
      </c>
      <c r="F466">
        <v>718.98</v>
      </c>
      <c r="G466">
        <v>2156.94</v>
      </c>
    </row>
    <row r="467" spans="1:7" x14ac:dyDescent="0.25">
      <c r="A467">
        <v>466</v>
      </c>
      <c r="B467">
        <v>786</v>
      </c>
      <c r="C467">
        <v>15</v>
      </c>
      <c r="D467" s="2">
        <v>45542</v>
      </c>
      <c r="F467">
        <v>483.33</v>
      </c>
      <c r="G467">
        <v>2416.65</v>
      </c>
    </row>
    <row r="468" spans="1:7" x14ac:dyDescent="0.25">
      <c r="A468">
        <v>467</v>
      </c>
      <c r="B468">
        <v>948</v>
      </c>
      <c r="C468">
        <v>13</v>
      </c>
      <c r="D468" s="2">
        <v>45553</v>
      </c>
      <c r="F468">
        <v>53.8</v>
      </c>
      <c r="G468">
        <v>161.4</v>
      </c>
    </row>
    <row r="469" spans="1:7" x14ac:dyDescent="0.25">
      <c r="A469">
        <v>468</v>
      </c>
      <c r="B469">
        <v>905</v>
      </c>
      <c r="C469">
        <v>42</v>
      </c>
      <c r="D469" s="2">
        <v>45649</v>
      </c>
      <c r="F469">
        <v>437.82</v>
      </c>
      <c r="G469">
        <v>437.82</v>
      </c>
    </row>
    <row r="470" spans="1:7" x14ac:dyDescent="0.25">
      <c r="A470">
        <v>469</v>
      </c>
      <c r="B470">
        <v>972</v>
      </c>
      <c r="C470">
        <v>70</v>
      </c>
      <c r="D470" s="2">
        <v>45549</v>
      </c>
      <c r="F470">
        <v>653.38</v>
      </c>
      <c r="G470">
        <v>1960.14</v>
      </c>
    </row>
    <row r="471" spans="1:7" x14ac:dyDescent="0.25">
      <c r="A471">
        <v>470</v>
      </c>
      <c r="B471">
        <v>756</v>
      </c>
      <c r="C471">
        <v>63</v>
      </c>
      <c r="D471" s="2">
        <v>45456</v>
      </c>
      <c r="F471">
        <v>125.07</v>
      </c>
      <c r="G471">
        <v>125.07</v>
      </c>
    </row>
    <row r="472" spans="1:7" x14ac:dyDescent="0.25">
      <c r="A472">
        <v>471</v>
      </c>
      <c r="B472">
        <v>752</v>
      </c>
      <c r="C472">
        <v>65</v>
      </c>
      <c r="D472" s="2">
        <v>45748</v>
      </c>
      <c r="F472">
        <v>455.88</v>
      </c>
      <c r="G472">
        <v>1367.64</v>
      </c>
    </row>
    <row r="473" spans="1:7" x14ac:dyDescent="0.25">
      <c r="A473">
        <v>472</v>
      </c>
      <c r="B473">
        <v>756</v>
      </c>
      <c r="C473">
        <v>1</v>
      </c>
      <c r="D473" s="2">
        <v>45790</v>
      </c>
      <c r="F473">
        <v>127.76</v>
      </c>
      <c r="G473">
        <v>127.76</v>
      </c>
    </row>
    <row r="474" spans="1:7" x14ac:dyDescent="0.25">
      <c r="A474">
        <v>473</v>
      </c>
      <c r="B474">
        <v>752</v>
      </c>
      <c r="C474">
        <v>96</v>
      </c>
      <c r="D474" s="2">
        <v>45589</v>
      </c>
      <c r="F474">
        <v>704.24</v>
      </c>
      <c r="G474">
        <v>704.24</v>
      </c>
    </row>
    <row r="475" spans="1:7" x14ac:dyDescent="0.25">
      <c r="A475">
        <v>474</v>
      </c>
      <c r="B475">
        <v>851</v>
      </c>
      <c r="C475">
        <v>1</v>
      </c>
      <c r="D475" s="2">
        <v>45691</v>
      </c>
      <c r="F475">
        <v>736.76</v>
      </c>
      <c r="G475">
        <v>2210.2800000000002</v>
      </c>
    </row>
    <row r="476" spans="1:7" x14ac:dyDescent="0.25">
      <c r="A476">
        <v>475</v>
      </c>
      <c r="B476">
        <v>752</v>
      </c>
      <c r="C476">
        <v>44</v>
      </c>
      <c r="D476" s="2">
        <v>45733</v>
      </c>
      <c r="F476">
        <v>722.04</v>
      </c>
      <c r="G476">
        <v>3610.2</v>
      </c>
    </row>
    <row r="477" spans="1:7" x14ac:dyDescent="0.25">
      <c r="A477">
        <v>476</v>
      </c>
      <c r="B477">
        <v>854</v>
      </c>
      <c r="C477">
        <v>70</v>
      </c>
      <c r="D477" s="2">
        <v>45451</v>
      </c>
      <c r="F477">
        <v>622.39</v>
      </c>
      <c r="G477">
        <v>622.39</v>
      </c>
    </row>
    <row r="478" spans="1:7" x14ac:dyDescent="0.25">
      <c r="A478">
        <v>477</v>
      </c>
      <c r="B478">
        <v>893</v>
      </c>
      <c r="C478">
        <v>2</v>
      </c>
      <c r="D478" s="2">
        <v>45429</v>
      </c>
      <c r="F478">
        <v>882.08</v>
      </c>
      <c r="G478">
        <v>3528.32</v>
      </c>
    </row>
    <row r="479" spans="1:7" x14ac:dyDescent="0.25">
      <c r="A479">
        <v>478</v>
      </c>
      <c r="B479">
        <v>941</v>
      </c>
      <c r="C479">
        <v>13</v>
      </c>
      <c r="D479" s="2">
        <v>45568</v>
      </c>
      <c r="F479">
        <v>523.17999999999995</v>
      </c>
      <c r="G479">
        <v>523.17999999999995</v>
      </c>
    </row>
    <row r="480" spans="1:7" x14ac:dyDescent="0.25">
      <c r="A480">
        <v>479</v>
      </c>
      <c r="B480">
        <v>943</v>
      </c>
      <c r="C480">
        <v>91</v>
      </c>
      <c r="D480" s="2">
        <v>45740</v>
      </c>
      <c r="F480">
        <v>424.2</v>
      </c>
      <c r="G480">
        <v>848.4</v>
      </c>
    </row>
    <row r="481" spans="1:7" x14ac:dyDescent="0.25">
      <c r="A481">
        <v>480</v>
      </c>
      <c r="B481">
        <v>899</v>
      </c>
      <c r="C481">
        <v>50</v>
      </c>
      <c r="D481" s="2">
        <v>45553</v>
      </c>
      <c r="F481">
        <v>905.06</v>
      </c>
      <c r="G481">
        <v>2715.18</v>
      </c>
    </row>
    <row r="482" spans="1:7" x14ac:dyDescent="0.25">
      <c r="A482">
        <v>481</v>
      </c>
      <c r="B482">
        <v>973</v>
      </c>
      <c r="C482">
        <v>66</v>
      </c>
      <c r="D482" s="2">
        <v>45541</v>
      </c>
      <c r="F482">
        <v>171.42</v>
      </c>
      <c r="G482">
        <v>685.68</v>
      </c>
    </row>
    <row r="483" spans="1:7" x14ac:dyDescent="0.25">
      <c r="A483">
        <v>482</v>
      </c>
      <c r="B483">
        <v>993</v>
      </c>
      <c r="C483">
        <v>91</v>
      </c>
      <c r="D483" s="2">
        <v>45429</v>
      </c>
      <c r="F483">
        <v>714.2</v>
      </c>
      <c r="G483">
        <v>714.2</v>
      </c>
    </row>
    <row r="484" spans="1:7" x14ac:dyDescent="0.25">
      <c r="A484">
        <v>483</v>
      </c>
      <c r="B484">
        <v>651</v>
      </c>
      <c r="C484">
        <v>68</v>
      </c>
      <c r="D484" s="2">
        <v>45770</v>
      </c>
      <c r="F484">
        <v>537.12</v>
      </c>
      <c r="G484">
        <v>1611.36</v>
      </c>
    </row>
    <row r="485" spans="1:7" x14ac:dyDescent="0.25">
      <c r="A485">
        <v>484</v>
      </c>
      <c r="B485">
        <v>867</v>
      </c>
      <c r="C485">
        <v>34</v>
      </c>
      <c r="D485" s="2">
        <v>45699</v>
      </c>
      <c r="F485">
        <v>227.83</v>
      </c>
      <c r="G485">
        <v>1139.1500000000001</v>
      </c>
    </row>
    <row r="486" spans="1:7" x14ac:dyDescent="0.25">
      <c r="A486">
        <v>485</v>
      </c>
      <c r="B486">
        <v>705</v>
      </c>
      <c r="C486">
        <v>29</v>
      </c>
      <c r="D486" s="2">
        <v>45548</v>
      </c>
      <c r="F486">
        <v>899.13</v>
      </c>
      <c r="G486">
        <v>899.13</v>
      </c>
    </row>
    <row r="487" spans="1:7" x14ac:dyDescent="0.25">
      <c r="A487">
        <v>486</v>
      </c>
      <c r="B487">
        <v>784</v>
      </c>
      <c r="C487">
        <v>53</v>
      </c>
      <c r="D487" s="2">
        <v>45493</v>
      </c>
      <c r="F487">
        <v>198.45</v>
      </c>
      <c r="G487">
        <v>396.9</v>
      </c>
    </row>
    <row r="488" spans="1:7" x14ac:dyDescent="0.25">
      <c r="A488">
        <v>487</v>
      </c>
      <c r="B488">
        <v>752</v>
      </c>
      <c r="C488">
        <v>90</v>
      </c>
      <c r="D488" s="2">
        <v>45505</v>
      </c>
      <c r="F488">
        <v>215.97</v>
      </c>
      <c r="G488">
        <v>647.91</v>
      </c>
    </row>
    <row r="489" spans="1:7" x14ac:dyDescent="0.25">
      <c r="A489">
        <v>488</v>
      </c>
      <c r="B489">
        <v>769</v>
      </c>
      <c r="C489">
        <v>88</v>
      </c>
      <c r="D489" s="2">
        <v>45461</v>
      </c>
      <c r="F489">
        <v>978.52</v>
      </c>
      <c r="G489">
        <v>2935.56</v>
      </c>
    </row>
    <row r="490" spans="1:7" x14ac:dyDescent="0.25">
      <c r="A490">
        <v>489</v>
      </c>
      <c r="B490">
        <v>812</v>
      </c>
      <c r="C490">
        <v>76</v>
      </c>
      <c r="D490" s="2">
        <v>45782</v>
      </c>
      <c r="F490">
        <v>495.49</v>
      </c>
      <c r="G490">
        <v>1981.96</v>
      </c>
    </row>
    <row r="491" spans="1:7" x14ac:dyDescent="0.25">
      <c r="A491">
        <v>490</v>
      </c>
      <c r="B491">
        <v>934</v>
      </c>
      <c r="C491">
        <v>68</v>
      </c>
      <c r="D491" s="2">
        <v>45579</v>
      </c>
      <c r="F491">
        <v>161.6</v>
      </c>
      <c r="G491">
        <v>484.8</v>
      </c>
    </row>
    <row r="492" spans="1:7" x14ac:dyDescent="0.25">
      <c r="A492">
        <v>491</v>
      </c>
      <c r="B492">
        <v>940</v>
      </c>
      <c r="C492">
        <v>3</v>
      </c>
      <c r="D492" s="2">
        <v>45556</v>
      </c>
      <c r="F492">
        <v>905.85</v>
      </c>
      <c r="G492">
        <v>1811.7</v>
      </c>
    </row>
    <row r="493" spans="1:7" x14ac:dyDescent="0.25">
      <c r="A493">
        <v>492</v>
      </c>
      <c r="B493">
        <v>756</v>
      </c>
      <c r="C493">
        <v>95</v>
      </c>
      <c r="D493" s="2">
        <v>45451</v>
      </c>
      <c r="F493">
        <v>325.83999999999997</v>
      </c>
      <c r="G493">
        <v>977.52</v>
      </c>
    </row>
    <row r="494" spans="1:7" x14ac:dyDescent="0.25">
      <c r="A494">
        <v>493</v>
      </c>
      <c r="B494">
        <v>966</v>
      </c>
      <c r="C494">
        <v>63</v>
      </c>
      <c r="D494" s="2">
        <v>45785</v>
      </c>
      <c r="F494">
        <v>593.04999999999995</v>
      </c>
      <c r="G494">
        <v>1779.15</v>
      </c>
    </row>
    <row r="495" spans="1:7" x14ac:dyDescent="0.25">
      <c r="A495">
        <v>494</v>
      </c>
      <c r="B495">
        <v>934</v>
      </c>
      <c r="C495">
        <v>41</v>
      </c>
      <c r="D495" s="2">
        <v>45632</v>
      </c>
      <c r="F495">
        <v>962.7</v>
      </c>
      <c r="G495">
        <v>2888.1</v>
      </c>
    </row>
    <row r="496" spans="1:7" x14ac:dyDescent="0.25">
      <c r="A496">
        <v>495</v>
      </c>
      <c r="B496">
        <v>837</v>
      </c>
      <c r="C496">
        <v>67</v>
      </c>
      <c r="D496" s="2">
        <v>45766</v>
      </c>
      <c r="F496">
        <v>468.27</v>
      </c>
      <c r="G496">
        <v>1404.81</v>
      </c>
    </row>
    <row r="497" spans="1:7" x14ac:dyDescent="0.25">
      <c r="A497">
        <v>496</v>
      </c>
      <c r="B497">
        <v>793</v>
      </c>
      <c r="C497">
        <v>36</v>
      </c>
      <c r="D497" s="2">
        <v>45625</v>
      </c>
      <c r="F497">
        <v>730.21</v>
      </c>
      <c r="G497">
        <v>3651.05</v>
      </c>
    </row>
    <row r="498" spans="1:7" x14ac:dyDescent="0.25">
      <c r="A498">
        <v>497</v>
      </c>
      <c r="B498">
        <v>924</v>
      </c>
      <c r="C498">
        <v>86</v>
      </c>
      <c r="D498" s="2">
        <v>45608</v>
      </c>
      <c r="F498">
        <v>850.01</v>
      </c>
      <c r="G498">
        <v>3400.04</v>
      </c>
    </row>
    <row r="499" spans="1:7" x14ac:dyDescent="0.25">
      <c r="A499">
        <v>498</v>
      </c>
      <c r="B499">
        <v>907</v>
      </c>
      <c r="C499">
        <v>72</v>
      </c>
      <c r="D499" s="2">
        <v>45678</v>
      </c>
      <c r="F499">
        <v>917.45</v>
      </c>
      <c r="G499">
        <v>1834.9</v>
      </c>
    </row>
    <row r="500" spans="1:7" x14ac:dyDescent="0.25">
      <c r="A500">
        <v>499</v>
      </c>
      <c r="B500">
        <v>932</v>
      </c>
      <c r="C500">
        <v>98</v>
      </c>
      <c r="D500" s="2">
        <v>45524</v>
      </c>
      <c r="F500">
        <v>971.18</v>
      </c>
      <c r="G500">
        <v>3884.72</v>
      </c>
    </row>
    <row r="501" spans="1:7" x14ac:dyDescent="0.25">
      <c r="A501">
        <v>500</v>
      </c>
      <c r="B501">
        <v>933</v>
      </c>
      <c r="C501">
        <v>44</v>
      </c>
      <c r="D501" s="2">
        <v>45616</v>
      </c>
      <c r="F501">
        <v>21.74</v>
      </c>
      <c r="G501">
        <v>86.96</v>
      </c>
    </row>
    <row r="502" spans="1:7" x14ac:dyDescent="0.25">
      <c r="A502">
        <v>501</v>
      </c>
      <c r="B502">
        <v>786</v>
      </c>
      <c r="C502">
        <v>62</v>
      </c>
      <c r="D502" s="2">
        <v>45515</v>
      </c>
      <c r="F502">
        <v>329.72</v>
      </c>
      <c r="G502">
        <v>659.44</v>
      </c>
    </row>
    <row r="503" spans="1:7" x14ac:dyDescent="0.25">
      <c r="A503">
        <v>502</v>
      </c>
      <c r="B503">
        <v>695</v>
      </c>
      <c r="C503">
        <v>9</v>
      </c>
      <c r="D503" s="2">
        <v>45454</v>
      </c>
      <c r="F503">
        <v>130.19999999999999</v>
      </c>
      <c r="G503">
        <v>130.19999999999999</v>
      </c>
    </row>
    <row r="504" spans="1:7" x14ac:dyDescent="0.25">
      <c r="A504">
        <v>503</v>
      </c>
      <c r="B504">
        <v>893</v>
      </c>
      <c r="C504">
        <v>95</v>
      </c>
      <c r="D504" s="2">
        <v>45572</v>
      </c>
      <c r="F504">
        <v>847.15</v>
      </c>
      <c r="G504">
        <v>3388.6</v>
      </c>
    </row>
    <row r="505" spans="1:7" x14ac:dyDescent="0.25">
      <c r="A505">
        <v>504</v>
      </c>
      <c r="B505">
        <v>997</v>
      </c>
      <c r="C505">
        <v>100</v>
      </c>
      <c r="D505" s="2">
        <v>45511</v>
      </c>
      <c r="F505">
        <v>232.39</v>
      </c>
      <c r="G505">
        <v>1161.95</v>
      </c>
    </row>
    <row r="506" spans="1:7" x14ac:dyDescent="0.25">
      <c r="A506">
        <v>505</v>
      </c>
      <c r="B506">
        <v>695</v>
      </c>
      <c r="C506">
        <v>65</v>
      </c>
      <c r="D506" s="2">
        <v>45529</v>
      </c>
      <c r="F506">
        <v>137.44999999999999</v>
      </c>
      <c r="G506">
        <v>687.25</v>
      </c>
    </row>
    <row r="507" spans="1:7" x14ac:dyDescent="0.25">
      <c r="A507">
        <v>506</v>
      </c>
      <c r="B507">
        <v>685</v>
      </c>
      <c r="C507">
        <v>11</v>
      </c>
      <c r="D507" s="2">
        <v>45727</v>
      </c>
      <c r="F507">
        <v>877.96</v>
      </c>
      <c r="G507">
        <v>4389.8</v>
      </c>
    </row>
    <row r="508" spans="1:7" x14ac:dyDescent="0.25">
      <c r="A508">
        <v>507</v>
      </c>
      <c r="B508">
        <v>901</v>
      </c>
      <c r="C508">
        <v>20</v>
      </c>
      <c r="D508" s="2">
        <v>45628</v>
      </c>
      <c r="F508">
        <v>677.02</v>
      </c>
      <c r="G508">
        <v>677.02</v>
      </c>
    </row>
    <row r="509" spans="1:7" x14ac:dyDescent="0.25">
      <c r="A509">
        <v>508</v>
      </c>
      <c r="B509">
        <v>993</v>
      </c>
      <c r="C509">
        <v>35</v>
      </c>
      <c r="D509" s="2">
        <v>45602</v>
      </c>
      <c r="F509">
        <v>721.28</v>
      </c>
      <c r="G509">
        <v>1442.56</v>
      </c>
    </row>
    <row r="510" spans="1:7" x14ac:dyDescent="0.25">
      <c r="A510">
        <v>509</v>
      </c>
      <c r="B510">
        <v>993</v>
      </c>
      <c r="C510">
        <v>93</v>
      </c>
      <c r="D510" s="2">
        <v>45558</v>
      </c>
      <c r="F510">
        <v>980.52</v>
      </c>
      <c r="G510">
        <v>980.52</v>
      </c>
    </row>
    <row r="511" spans="1:7" x14ac:dyDescent="0.25">
      <c r="A511">
        <v>510</v>
      </c>
      <c r="B511">
        <v>985</v>
      </c>
      <c r="C511">
        <v>91</v>
      </c>
      <c r="D511" s="2">
        <v>45708</v>
      </c>
      <c r="F511">
        <v>482.47</v>
      </c>
      <c r="G511">
        <v>2412.35</v>
      </c>
    </row>
    <row r="512" spans="1:7" x14ac:dyDescent="0.25">
      <c r="A512">
        <v>511</v>
      </c>
      <c r="B512">
        <v>651</v>
      </c>
      <c r="C512">
        <v>87</v>
      </c>
      <c r="D512" s="2">
        <v>45593</v>
      </c>
      <c r="F512">
        <v>207.5</v>
      </c>
      <c r="G512">
        <v>415</v>
      </c>
    </row>
    <row r="513" spans="1:7" x14ac:dyDescent="0.25">
      <c r="A513">
        <v>512</v>
      </c>
      <c r="B513">
        <v>913</v>
      </c>
      <c r="C513">
        <v>56</v>
      </c>
      <c r="D513" s="2">
        <v>45700</v>
      </c>
      <c r="F513">
        <v>356.78</v>
      </c>
      <c r="G513">
        <v>1427.12</v>
      </c>
    </row>
    <row r="514" spans="1:7" x14ac:dyDescent="0.25">
      <c r="A514">
        <v>513</v>
      </c>
      <c r="B514">
        <v>932</v>
      </c>
      <c r="C514">
        <v>12</v>
      </c>
      <c r="D514" s="2">
        <v>45618</v>
      </c>
      <c r="F514">
        <v>28</v>
      </c>
      <c r="G514">
        <v>112</v>
      </c>
    </row>
    <row r="515" spans="1:7" x14ac:dyDescent="0.25">
      <c r="A515">
        <v>514</v>
      </c>
      <c r="B515">
        <v>885</v>
      </c>
      <c r="C515">
        <v>63</v>
      </c>
      <c r="D515" s="2">
        <v>45591</v>
      </c>
      <c r="F515">
        <v>259.19</v>
      </c>
      <c r="G515">
        <v>1036.76</v>
      </c>
    </row>
    <row r="516" spans="1:7" x14ac:dyDescent="0.25">
      <c r="A516">
        <v>515</v>
      </c>
      <c r="B516">
        <v>949</v>
      </c>
      <c r="C516">
        <v>95</v>
      </c>
      <c r="D516" s="2">
        <v>45694</v>
      </c>
      <c r="F516">
        <v>599.52</v>
      </c>
      <c r="G516">
        <v>2997.6</v>
      </c>
    </row>
    <row r="517" spans="1:7" x14ac:dyDescent="0.25">
      <c r="A517">
        <v>516</v>
      </c>
      <c r="B517">
        <v>987</v>
      </c>
      <c r="C517">
        <v>78</v>
      </c>
      <c r="D517" s="2">
        <v>45436</v>
      </c>
      <c r="F517">
        <v>639.98</v>
      </c>
      <c r="G517">
        <v>1279.96</v>
      </c>
    </row>
    <row r="518" spans="1:7" x14ac:dyDescent="0.25">
      <c r="A518">
        <v>517</v>
      </c>
      <c r="B518">
        <v>939</v>
      </c>
      <c r="C518">
        <v>72</v>
      </c>
      <c r="D518" s="2">
        <v>45770</v>
      </c>
      <c r="F518">
        <v>313.20999999999998</v>
      </c>
      <c r="G518">
        <v>1252.8399999999999</v>
      </c>
    </row>
    <row r="519" spans="1:7" x14ac:dyDescent="0.25">
      <c r="A519">
        <v>518</v>
      </c>
      <c r="B519">
        <v>947</v>
      </c>
      <c r="C519">
        <v>14</v>
      </c>
      <c r="D519" s="2">
        <v>45600</v>
      </c>
      <c r="F519">
        <v>629.70000000000005</v>
      </c>
      <c r="G519">
        <v>1259.4000000000001</v>
      </c>
    </row>
    <row r="520" spans="1:7" x14ac:dyDescent="0.25">
      <c r="A520">
        <v>519</v>
      </c>
      <c r="B520">
        <v>957</v>
      </c>
      <c r="C520">
        <v>71</v>
      </c>
      <c r="D520" s="2">
        <v>45455</v>
      </c>
      <c r="F520">
        <v>572.20000000000005</v>
      </c>
      <c r="G520">
        <v>2288.8000000000002</v>
      </c>
    </row>
    <row r="521" spans="1:7" x14ac:dyDescent="0.25">
      <c r="A521">
        <v>520</v>
      </c>
      <c r="B521">
        <v>812</v>
      </c>
      <c r="C521">
        <v>56</v>
      </c>
      <c r="D521" s="2">
        <v>45568</v>
      </c>
      <c r="F521">
        <v>37.26</v>
      </c>
      <c r="G521">
        <v>111.78</v>
      </c>
    </row>
    <row r="522" spans="1:7" x14ac:dyDescent="0.25">
      <c r="A522">
        <v>521</v>
      </c>
      <c r="B522">
        <v>993</v>
      </c>
      <c r="C522">
        <v>88</v>
      </c>
      <c r="D522" s="2">
        <v>45709</v>
      </c>
      <c r="F522">
        <v>830.04</v>
      </c>
      <c r="G522">
        <v>4150.2</v>
      </c>
    </row>
    <row r="523" spans="1:7" x14ac:dyDescent="0.25">
      <c r="A523">
        <v>522</v>
      </c>
      <c r="B523">
        <v>899</v>
      </c>
      <c r="C523">
        <v>25</v>
      </c>
      <c r="D523" s="2">
        <v>45692</v>
      </c>
      <c r="F523">
        <v>316.32</v>
      </c>
      <c r="G523">
        <v>948.96</v>
      </c>
    </row>
    <row r="524" spans="1:7" x14ac:dyDescent="0.25">
      <c r="A524">
        <v>523</v>
      </c>
      <c r="B524">
        <v>975</v>
      </c>
      <c r="C524">
        <v>17</v>
      </c>
      <c r="D524" s="2">
        <v>45597</v>
      </c>
      <c r="F524">
        <v>438.05</v>
      </c>
      <c r="G524">
        <v>876.1</v>
      </c>
    </row>
    <row r="525" spans="1:7" x14ac:dyDescent="0.25">
      <c r="A525">
        <v>524</v>
      </c>
      <c r="B525">
        <v>752</v>
      </c>
      <c r="C525">
        <v>97</v>
      </c>
      <c r="D525" s="2">
        <v>45555</v>
      </c>
      <c r="F525">
        <v>178.15</v>
      </c>
      <c r="G525">
        <v>534.45000000000005</v>
      </c>
    </row>
    <row r="526" spans="1:7" x14ac:dyDescent="0.25">
      <c r="A526">
        <v>525</v>
      </c>
      <c r="B526">
        <v>705</v>
      </c>
      <c r="C526">
        <v>100</v>
      </c>
      <c r="D526" s="2">
        <v>45538</v>
      </c>
      <c r="F526">
        <v>850.15</v>
      </c>
      <c r="G526">
        <v>1700.3</v>
      </c>
    </row>
    <row r="527" spans="1:7" x14ac:dyDescent="0.25">
      <c r="A527">
        <v>526</v>
      </c>
      <c r="B527">
        <v>626</v>
      </c>
      <c r="C527">
        <v>11</v>
      </c>
      <c r="D527" s="2">
        <v>45597</v>
      </c>
      <c r="F527">
        <v>485.85</v>
      </c>
      <c r="G527">
        <v>1943.4</v>
      </c>
    </row>
    <row r="528" spans="1:7" x14ac:dyDescent="0.25">
      <c r="A528">
        <v>527</v>
      </c>
      <c r="B528">
        <v>939</v>
      </c>
      <c r="C528">
        <v>88</v>
      </c>
      <c r="D528" s="2">
        <v>45742</v>
      </c>
      <c r="F528">
        <v>759.05</v>
      </c>
      <c r="G528">
        <v>3036.2</v>
      </c>
    </row>
    <row r="529" spans="1:7" x14ac:dyDescent="0.25">
      <c r="A529">
        <v>528</v>
      </c>
      <c r="B529">
        <v>854</v>
      </c>
      <c r="C529">
        <v>81</v>
      </c>
      <c r="D529" s="2">
        <v>45720</v>
      </c>
      <c r="F529">
        <v>943.86</v>
      </c>
      <c r="G529">
        <v>4719.3</v>
      </c>
    </row>
    <row r="530" spans="1:7" x14ac:dyDescent="0.25">
      <c r="A530">
        <v>529</v>
      </c>
      <c r="B530">
        <v>626</v>
      </c>
      <c r="C530">
        <v>65</v>
      </c>
      <c r="D530" s="2">
        <v>45770</v>
      </c>
      <c r="F530">
        <v>369.64</v>
      </c>
      <c r="G530">
        <v>1478.56</v>
      </c>
    </row>
    <row r="531" spans="1:7" x14ac:dyDescent="0.25">
      <c r="A531">
        <v>530</v>
      </c>
      <c r="B531">
        <v>982</v>
      </c>
      <c r="C531">
        <v>62</v>
      </c>
      <c r="D531" s="2">
        <v>45713</v>
      </c>
      <c r="F531">
        <v>893.32</v>
      </c>
      <c r="G531">
        <v>1786.64</v>
      </c>
    </row>
    <row r="532" spans="1:7" x14ac:dyDescent="0.25">
      <c r="A532">
        <v>531</v>
      </c>
      <c r="B532">
        <v>969</v>
      </c>
      <c r="C532">
        <v>15</v>
      </c>
      <c r="D532" s="2">
        <v>45704</v>
      </c>
      <c r="F532">
        <v>632.11</v>
      </c>
      <c r="G532">
        <v>3160.55</v>
      </c>
    </row>
    <row r="533" spans="1:7" x14ac:dyDescent="0.25">
      <c r="A533">
        <v>532</v>
      </c>
      <c r="B533">
        <v>957</v>
      </c>
      <c r="C533">
        <v>53</v>
      </c>
      <c r="D533" s="2">
        <v>45436</v>
      </c>
      <c r="F533">
        <v>582.20000000000005</v>
      </c>
      <c r="G533">
        <v>582.20000000000005</v>
      </c>
    </row>
    <row r="534" spans="1:7" x14ac:dyDescent="0.25">
      <c r="A534">
        <v>533</v>
      </c>
      <c r="B534">
        <v>941</v>
      </c>
      <c r="C534">
        <v>21</v>
      </c>
      <c r="D534" s="2">
        <v>45703</v>
      </c>
      <c r="F534">
        <v>57.27</v>
      </c>
      <c r="G534">
        <v>171.81</v>
      </c>
    </row>
    <row r="535" spans="1:7" x14ac:dyDescent="0.25">
      <c r="A535">
        <v>534</v>
      </c>
      <c r="B535">
        <v>958</v>
      </c>
      <c r="C535">
        <v>2</v>
      </c>
      <c r="D535" s="2">
        <v>45579</v>
      </c>
      <c r="F535">
        <v>906.35</v>
      </c>
      <c r="G535">
        <v>3625.4</v>
      </c>
    </row>
    <row r="536" spans="1:7" x14ac:dyDescent="0.25">
      <c r="A536">
        <v>535</v>
      </c>
      <c r="B536">
        <v>987</v>
      </c>
      <c r="C536">
        <v>9</v>
      </c>
      <c r="D536" s="2">
        <v>45504</v>
      </c>
      <c r="F536">
        <v>618.30999999999995</v>
      </c>
      <c r="G536">
        <v>3091.55</v>
      </c>
    </row>
    <row r="537" spans="1:7" x14ac:dyDescent="0.25">
      <c r="A537">
        <v>536</v>
      </c>
      <c r="B537">
        <v>786</v>
      </c>
      <c r="C537">
        <v>13</v>
      </c>
      <c r="D537" s="2">
        <v>45735</v>
      </c>
      <c r="F537">
        <v>919.21</v>
      </c>
      <c r="G537">
        <v>1838.42</v>
      </c>
    </row>
    <row r="538" spans="1:7" x14ac:dyDescent="0.25">
      <c r="A538">
        <v>537</v>
      </c>
      <c r="B538">
        <v>685</v>
      </c>
      <c r="C538">
        <v>58</v>
      </c>
      <c r="D538" s="2">
        <v>45535</v>
      </c>
      <c r="F538">
        <v>576.29</v>
      </c>
      <c r="G538">
        <v>1728.87</v>
      </c>
    </row>
    <row r="539" spans="1:7" x14ac:dyDescent="0.25">
      <c r="A539">
        <v>538</v>
      </c>
      <c r="B539">
        <v>811</v>
      </c>
      <c r="C539">
        <v>84</v>
      </c>
      <c r="D539" s="2">
        <v>45689</v>
      </c>
      <c r="F539">
        <v>823.66</v>
      </c>
      <c r="G539">
        <v>3294.64</v>
      </c>
    </row>
    <row r="540" spans="1:7" x14ac:dyDescent="0.25">
      <c r="A540">
        <v>539</v>
      </c>
      <c r="B540">
        <v>938</v>
      </c>
      <c r="C540">
        <v>49</v>
      </c>
      <c r="D540" s="2">
        <v>45757</v>
      </c>
      <c r="F540">
        <v>758.87</v>
      </c>
      <c r="G540">
        <v>758.87</v>
      </c>
    </row>
    <row r="541" spans="1:7" x14ac:dyDescent="0.25">
      <c r="A541">
        <v>540</v>
      </c>
      <c r="B541">
        <v>938</v>
      </c>
      <c r="C541">
        <v>6</v>
      </c>
      <c r="D541" s="2">
        <v>45645</v>
      </c>
      <c r="F541">
        <v>735.67</v>
      </c>
      <c r="G541">
        <v>2207.0100000000002</v>
      </c>
    </row>
    <row r="542" spans="1:7" x14ac:dyDescent="0.25">
      <c r="A542">
        <v>541</v>
      </c>
      <c r="B542">
        <v>990</v>
      </c>
      <c r="C542">
        <v>28</v>
      </c>
      <c r="D542" s="2">
        <v>45480</v>
      </c>
      <c r="F542">
        <v>233.72</v>
      </c>
      <c r="G542">
        <v>934.88</v>
      </c>
    </row>
    <row r="543" spans="1:7" x14ac:dyDescent="0.25">
      <c r="A543">
        <v>542</v>
      </c>
      <c r="B543">
        <v>909</v>
      </c>
      <c r="C543">
        <v>29</v>
      </c>
      <c r="D543" s="2">
        <v>45631</v>
      </c>
      <c r="F543">
        <v>95.38</v>
      </c>
      <c r="G543">
        <v>381.52</v>
      </c>
    </row>
    <row r="544" spans="1:7" x14ac:dyDescent="0.25">
      <c r="A544">
        <v>543</v>
      </c>
      <c r="B544">
        <v>913</v>
      </c>
      <c r="C544">
        <v>88</v>
      </c>
      <c r="D544" s="2">
        <v>45645</v>
      </c>
      <c r="F544">
        <v>128.84</v>
      </c>
      <c r="G544">
        <v>644.20000000000005</v>
      </c>
    </row>
    <row r="545" spans="1:7" x14ac:dyDescent="0.25">
      <c r="A545">
        <v>544</v>
      </c>
      <c r="B545">
        <v>901</v>
      </c>
      <c r="C545">
        <v>27</v>
      </c>
      <c r="D545" s="2">
        <v>45652</v>
      </c>
      <c r="F545">
        <v>841.16</v>
      </c>
      <c r="G545">
        <v>1682.32</v>
      </c>
    </row>
    <row r="546" spans="1:7" x14ac:dyDescent="0.25">
      <c r="A546">
        <v>545</v>
      </c>
      <c r="B546">
        <v>990</v>
      </c>
      <c r="C546">
        <v>72</v>
      </c>
      <c r="D546" s="2">
        <v>45647</v>
      </c>
      <c r="F546">
        <v>351.14</v>
      </c>
      <c r="G546">
        <v>351.14</v>
      </c>
    </row>
    <row r="547" spans="1:7" x14ac:dyDescent="0.25">
      <c r="A547">
        <v>546</v>
      </c>
      <c r="B547">
        <v>954</v>
      </c>
      <c r="C547">
        <v>51</v>
      </c>
      <c r="D547" s="2">
        <v>45558</v>
      </c>
      <c r="F547">
        <v>472.95</v>
      </c>
      <c r="G547">
        <v>472.95</v>
      </c>
    </row>
    <row r="548" spans="1:7" x14ac:dyDescent="0.25">
      <c r="A548">
        <v>547</v>
      </c>
      <c r="B548">
        <v>972</v>
      </c>
      <c r="C548">
        <v>83</v>
      </c>
      <c r="D548" s="2">
        <v>45469</v>
      </c>
      <c r="F548">
        <v>81.89</v>
      </c>
      <c r="G548">
        <v>409.45</v>
      </c>
    </row>
    <row r="549" spans="1:7" x14ac:dyDescent="0.25">
      <c r="A549">
        <v>548</v>
      </c>
      <c r="B549">
        <v>968</v>
      </c>
      <c r="C549">
        <v>57</v>
      </c>
      <c r="D549" s="2">
        <v>45518</v>
      </c>
      <c r="F549">
        <v>197.92</v>
      </c>
      <c r="G549">
        <v>593.76</v>
      </c>
    </row>
    <row r="550" spans="1:7" x14ac:dyDescent="0.25">
      <c r="A550">
        <v>549</v>
      </c>
      <c r="B550">
        <v>968</v>
      </c>
      <c r="C550">
        <v>18</v>
      </c>
      <c r="D550" s="2">
        <v>45520</v>
      </c>
      <c r="F550">
        <v>713.02</v>
      </c>
      <c r="G550">
        <v>1426.04</v>
      </c>
    </row>
    <row r="551" spans="1:7" x14ac:dyDescent="0.25">
      <c r="A551">
        <v>550</v>
      </c>
      <c r="B551">
        <v>837</v>
      </c>
      <c r="C551">
        <v>87</v>
      </c>
      <c r="D551" s="2">
        <v>45729</v>
      </c>
      <c r="F551">
        <v>465.45</v>
      </c>
      <c r="G551">
        <v>1396.35</v>
      </c>
    </row>
    <row r="552" spans="1:7" x14ac:dyDescent="0.25">
      <c r="A552">
        <v>551</v>
      </c>
      <c r="B552">
        <v>985</v>
      </c>
      <c r="C552">
        <v>100</v>
      </c>
      <c r="D552" s="2">
        <v>45476</v>
      </c>
      <c r="F552">
        <v>274.55</v>
      </c>
      <c r="G552">
        <v>823.65</v>
      </c>
    </row>
    <row r="553" spans="1:7" x14ac:dyDescent="0.25">
      <c r="A553">
        <v>552</v>
      </c>
      <c r="B553">
        <v>917</v>
      </c>
      <c r="C553">
        <v>87</v>
      </c>
      <c r="D553" s="2">
        <v>45727</v>
      </c>
      <c r="F553">
        <v>64.44</v>
      </c>
      <c r="G553">
        <v>257.76</v>
      </c>
    </row>
    <row r="554" spans="1:7" x14ac:dyDescent="0.25">
      <c r="A554">
        <v>553</v>
      </c>
      <c r="B554">
        <v>952</v>
      </c>
      <c r="C554">
        <v>44</v>
      </c>
      <c r="D554" s="2">
        <v>45759</v>
      </c>
      <c r="F554">
        <v>310.99</v>
      </c>
      <c r="G554">
        <v>621.98</v>
      </c>
    </row>
    <row r="555" spans="1:7" x14ac:dyDescent="0.25">
      <c r="A555">
        <v>554</v>
      </c>
      <c r="B555">
        <v>996</v>
      </c>
      <c r="C555">
        <v>57</v>
      </c>
      <c r="D555" s="2">
        <v>45774</v>
      </c>
      <c r="F555">
        <v>99.94</v>
      </c>
      <c r="G555">
        <v>499.7</v>
      </c>
    </row>
    <row r="556" spans="1:7" x14ac:dyDescent="0.25">
      <c r="A556">
        <v>555</v>
      </c>
      <c r="B556">
        <v>752</v>
      </c>
      <c r="C556">
        <v>1</v>
      </c>
      <c r="D556" s="2">
        <v>45688</v>
      </c>
      <c r="F556">
        <v>825.48</v>
      </c>
      <c r="G556">
        <v>825.48</v>
      </c>
    </row>
    <row r="557" spans="1:7" x14ac:dyDescent="0.25">
      <c r="A557">
        <v>556</v>
      </c>
      <c r="B557">
        <v>958</v>
      </c>
      <c r="C557">
        <v>56</v>
      </c>
      <c r="D557" s="2">
        <v>45665</v>
      </c>
      <c r="F557">
        <v>434.92</v>
      </c>
      <c r="G557">
        <v>869.84</v>
      </c>
    </row>
    <row r="558" spans="1:7" x14ac:dyDescent="0.25">
      <c r="A558">
        <v>557</v>
      </c>
      <c r="B558">
        <v>963</v>
      </c>
      <c r="C558">
        <v>16</v>
      </c>
      <c r="D558" s="2">
        <v>45607</v>
      </c>
      <c r="F558">
        <v>463.17</v>
      </c>
      <c r="G558">
        <v>926.34</v>
      </c>
    </row>
    <row r="559" spans="1:7" x14ac:dyDescent="0.25">
      <c r="A559">
        <v>558</v>
      </c>
      <c r="B559">
        <v>979</v>
      </c>
      <c r="C559">
        <v>47</v>
      </c>
      <c r="D559" s="2">
        <v>45685</v>
      </c>
      <c r="F559">
        <v>714.77</v>
      </c>
      <c r="G559">
        <v>2144.31</v>
      </c>
    </row>
    <row r="560" spans="1:7" x14ac:dyDescent="0.25">
      <c r="A560">
        <v>559</v>
      </c>
      <c r="B560">
        <v>943</v>
      </c>
      <c r="C560">
        <v>14</v>
      </c>
      <c r="D560" s="2">
        <v>45644</v>
      </c>
      <c r="F560">
        <v>206.76</v>
      </c>
      <c r="G560">
        <v>413.52</v>
      </c>
    </row>
    <row r="561" spans="1:7" x14ac:dyDescent="0.25">
      <c r="A561">
        <v>560</v>
      </c>
      <c r="B561">
        <v>993</v>
      </c>
      <c r="C561">
        <v>68</v>
      </c>
      <c r="D561" s="2">
        <v>45491</v>
      </c>
      <c r="F561">
        <v>844.07</v>
      </c>
      <c r="G561">
        <v>844.07</v>
      </c>
    </row>
    <row r="562" spans="1:7" x14ac:dyDescent="0.25">
      <c r="A562">
        <v>561</v>
      </c>
      <c r="B562">
        <v>983</v>
      </c>
      <c r="C562">
        <v>19</v>
      </c>
      <c r="D562" s="2">
        <v>45540</v>
      </c>
      <c r="F562">
        <v>457.64</v>
      </c>
      <c r="G562">
        <v>915.28</v>
      </c>
    </row>
    <row r="563" spans="1:7" x14ac:dyDescent="0.25">
      <c r="A563">
        <v>562</v>
      </c>
      <c r="B563">
        <v>954</v>
      </c>
      <c r="C563">
        <v>40</v>
      </c>
      <c r="D563" s="2">
        <v>45438</v>
      </c>
      <c r="F563">
        <v>752.28</v>
      </c>
      <c r="G563">
        <v>1504.56</v>
      </c>
    </row>
    <row r="564" spans="1:7" x14ac:dyDescent="0.25">
      <c r="A564">
        <v>563</v>
      </c>
      <c r="B564">
        <v>702</v>
      </c>
      <c r="C564">
        <v>12</v>
      </c>
      <c r="D564" s="2">
        <v>45607</v>
      </c>
      <c r="F564">
        <v>850.61</v>
      </c>
      <c r="G564">
        <v>4253.05</v>
      </c>
    </row>
    <row r="565" spans="1:7" x14ac:dyDescent="0.25">
      <c r="A565">
        <v>564</v>
      </c>
      <c r="B565">
        <v>952</v>
      </c>
      <c r="C565">
        <v>31</v>
      </c>
      <c r="D565" s="2">
        <v>45455</v>
      </c>
      <c r="F565">
        <v>728.18</v>
      </c>
      <c r="G565">
        <v>728.18</v>
      </c>
    </row>
    <row r="566" spans="1:7" x14ac:dyDescent="0.25">
      <c r="A566">
        <v>565</v>
      </c>
      <c r="B566">
        <v>970</v>
      </c>
      <c r="C566">
        <v>80</v>
      </c>
      <c r="D566" s="2">
        <v>45773</v>
      </c>
      <c r="F566">
        <v>516.95000000000005</v>
      </c>
      <c r="G566">
        <v>2067.8000000000002</v>
      </c>
    </row>
    <row r="567" spans="1:7" x14ac:dyDescent="0.25">
      <c r="A567">
        <v>566</v>
      </c>
      <c r="B567">
        <v>964</v>
      </c>
      <c r="C567">
        <v>66</v>
      </c>
      <c r="D567" s="2">
        <v>45544</v>
      </c>
      <c r="F567">
        <v>315.58999999999997</v>
      </c>
      <c r="G567">
        <v>1262.3599999999999</v>
      </c>
    </row>
    <row r="568" spans="1:7" x14ac:dyDescent="0.25">
      <c r="A568">
        <v>567</v>
      </c>
      <c r="B568">
        <v>651</v>
      </c>
      <c r="C568">
        <v>13</v>
      </c>
      <c r="D568" s="2">
        <v>45645</v>
      </c>
      <c r="F568">
        <v>794.9</v>
      </c>
      <c r="G568">
        <v>2384.6999999999998</v>
      </c>
    </row>
    <row r="569" spans="1:7" x14ac:dyDescent="0.25">
      <c r="A569">
        <v>568</v>
      </c>
      <c r="B569">
        <v>908</v>
      </c>
      <c r="C569">
        <v>41</v>
      </c>
      <c r="D569" s="2">
        <v>45765</v>
      </c>
      <c r="F569">
        <v>96.88</v>
      </c>
      <c r="G569">
        <v>387.52</v>
      </c>
    </row>
    <row r="570" spans="1:7" x14ac:dyDescent="0.25">
      <c r="A570">
        <v>569</v>
      </c>
      <c r="B570">
        <v>837</v>
      </c>
      <c r="C570">
        <v>28</v>
      </c>
      <c r="D570" s="2">
        <v>45726</v>
      </c>
      <c r="F570">
        <v>246.23</v>
      </c>
      <c r="G570">
        <v>984.92</v>
      </c>
    </row>
    <row r="571" spans="1:7" x14ac:dyDescent="0.25">
      <c r="A571">
        <v>570</v>
      </c>
      <c r="B571">
        <v>907</v>
      </c>
      <c r="C571">
        <v>22</v>
      </c>
      <c r="D571" s="2">
        <v>45573</v>
      </c>
      <c r="F571">
        <v>635.96</v>
      </c>
      <c r="G571">
        <v>3179.8</v>
      </c>
    </row>
    <row r="572" spans="1:7" x14ac:dyDescent="0.25">
      <c r="A572">
        <v>571</v>
      </c>
      <c r="B572">
        <v>901</v>
      </c>
      <c r="C572">
        <v>21</v>
      </c>
      <c r="D572" s="2">
        <v>45514</v>
      </c>
      <c r="F572">
        <v>687.43</v>
      </c>
      <c r="G572">
        <v>1374.86</v>
      </c>
    </row>
    <row r="573" spans="1:7" x14ac:dyDescent="0.25">
      <c r="A573">
        <v>572</v>
      </c>
      <c r="B573">
        <v>932</v>
      </c>
      <c r="C573">
        <v>9</v>
      </c>
      <c r="D573" s="2">
        <v>45467</v>
      </c>
      <c r="F573">
        <v>279.20999999999998</v>
      </c>
      <c r="G573">
        <v>837.63</v>
      </c>
    </row>
    <row r="574" spans="1:7" x14ac:dyDescent="0.25">
      <c r="A574">
        <v>573</v>
      </c>
      <c r="B574">
        <v>928</v>
      </c>
      <c r="C574">
        <v>65</v>
      </c>
      <c r="D574" s="2">
        <v>45498</v>
      </c>
      <c r="F574">
        <v>138.72999999999999</v>
      </c>
      <c r="G574">
        <v>277.45999999999998</v>
      </c>
    </row>
    <row r="575" spans="1:7" x14ac:dyDescent="0.25">
      <c r="A575">
        <v>574</v>
      </c>
      <c r="B575">
        <v>851</v>
      </c>
      <c r="C575">
        <v>99</v>
      </c>
      <c r="D575" s="2">
        <v>45687</v>
      </c>
      <c r="F575">
        <v>466.65</v>
      </c>
      <c r="G575">
        <v>933.3</v>
      </c>
    </row>
    <row r="576" spans="1:7" x14ac:dyDescent="0.25">
      <c r="A576">
        <v>575</v>
      </c>
      <c r="B576">
        <v>993</v>
      </c>
      <c r="C576">
        <v>59</v>
      </c>
      <c r="D576" s="2">
        <v>45521</v>
      </c>
      <c r="F576">
        <v>775.52</v>
      </c>
      <c r="G576">
        <v>775.52</v>
      </c>
    </row>
    <row r="577" spans="1:7" x14ac:dyDescent="0.25">
      <c r="A577">
        <v>576</v>
      </c>
      <c r="B577">
        <v>890</v>
      </c>
      <c r="C577">
        <v>15</v>
      </c>
      <c r="D577" s="2">
        <v>45738</v>
      </c>
      <c r="F577">
        <v>649.91999999999996</v>
      </c>
      <c r="G577">
        <v>2599.6799999999998</v>
      </c>
    </row>
    <row r="578" spans="1:7" x14ac:dyDescent="0.25">
      <c r="A578">
        <v>577</v>
      </c>
      <c r="B578">
        <v>994</v>
      </c>
      <c r="C578">
        <v>45</v>
      </c>
      <c r="D578" s="2">
        <v>45652</v>
      </c>
      <c r="F578">
        <v>468.7</v>
      </c>
      <c r="G578">
        <v>468.7</v>
      </c>
    </row>
    <row r="579" spans="1:7" x14ac:dyDescent="0.25">
      <c r="A579">
        <v>578</v>
      </c>
      <c r="B579">
        <v>695</v>
      </c>
      <c r="C579">
        <v>65</v>
      </c>
      <c r="D579" s="2">
        <v>45690</v>
      </c>
      <c r="F579">
        <v>117.2</v>
      </c>
      <c r="G579">
        <v>468.8</v>
      </c>
    </row>
    <row r="580" spans="1:7" x14ac:dyDescent="0.25">
      <c r="A580">
        <v>579</v>
      </c>
      <c r="B580">
        <v>917</v>
      </c>
      <c r="C580">
        <v>17</v>
      </c>
      <c r="D580" s="2">
        <v>45664</v>
      </c>
      <c r="F580">
        <v>664.91</v>
      </c>
      <c r="G580">
        <v>3324.55</v>
      </c>
    </row>
    <row r="581" spans="1:7" x14ac:dyDescent="0.25">
      <c r="A581">
        <v>580</v>
      </c>
      <c r="B581">
        <v>966</v>
      </c>
      <c r="C581">
        <v>79</v>
      </c>
      <c r="D581" s="2">
        <v>45768</v>
      </c>
      <c r="F581">
        <v>437.19</v>
      </c>
      <c r="G581">
        <v>1311.57</v>
      </c>
    </row>
    <row r="582" spans="1:7" x14ac:dyDescent="0.25">
      <c r="A582">
        <v>581</v>
      </c>
      <c r="B582">
        <v>949</v>
      </c>
      <c r="C582">
        <v>93</v>
      </c>
      <c r="D582" s="2">
        <v>45787</v>
      </c>
      <c r="F582">
        <v>46.63</v>
      </c>
      <c r="G582">
        <v>186.52</v>
      </c>
    </row>
    <row r="583" spans="1:7" x14ac:dyDescent="0.25">
      <c r="A583">
        <v>582</v>
      </c>
      <c r="B583">
        <v>970</v>
      </c>
      <c r="C583">
        <v>32</v>
      </c>
      <c r="D583" s="2">
        <v>45585</v>
      </c>
      <c r="F583">
        <v>921.79</v>
      </c>
      <c r="G583">
        <v>4608.95</v>
      </c>
    </row>
    <row r="584" spans="1:7" x14ac:dyDescent="0.25">
      <c r="A584">
        <v>583</v>
      </c>
      <c r="B584">
        <v>943</v>
      </c>
      <c r="C584">
        <v>92</v>
      </c>
      <c r="D584" s="2">
        <v>45447</v>
      </c>
      <c r="F584">
        <v>485.26</v>
      </c>
      <c r="G584">
        <v>970.52</v>
      </c>
    </row>
    <row r="585" spans="1:7" x14ac:dyDescent="0.25">
      <c r="A585">
        <v>584</v>
      </c>
      <c r="B585">
        <v>952</v>
      </c>
      <c r="C585">
        <v>25</v>
      </c>
      <c r="D585" s="2">
        <v>45671</v>
      </c>
      <c r="F585">
        <v>167.15</v>
      </c>
      <c r="G585">
        <v>835.75</v>
      </c>
    </row>
    <row r="586" spans="1:7" x14ac:dyDescent="0.25">
      <c r="A586">
        <v>585</v>
      </c>
      <c r="B586">
        <v>928</v>
      </c>
      <c r="C586">
        <v>19</v>
      </c>
      <c r="D586" s="2">
        <v>45709</v>
      </c>
      <c r="F586">
        <v>752.36</v>
      </c>
      <c r="G586">
        <v>752.36</v>
      </c>
    </row>
    <row r="587" spans="1:7" x14ac:dyDescent="0.25">
      <c r="A587">
        <v>586</v>
      </c>
      <c r="B587">
        <v>793</v>
      </c>
      <c r="C587">
        <v>15</v>
      </c>
      <c r="D587" s="2">
        <v>45727</v>
      </c>
      <c r="F587">
        <v>435.98</v>
      </c>
      <c r="G587">
        <v>1307.94</v>
      </c>
    </row>
    <row r="588" spans="1:7" x14ac:dyDescent="0.25">
      <c r="A588">
        <v>587</v>
      </c>
      <c r="B588">
        <v>626</v>
      </c>
      <c r="C588">
        <v>29</v>
      </c>
      <c r="D588" s="2">
        <v>45472</v>
      </c>
      <c r="F588">
        <v>512.69000000000005</v>
      </c>
      <c r="G588">
        <v>2563.4499999999998</v>
      </c>
    </row>
    <row r="589" spans="1:7" x14ac:dyDescent="0.25">
      <c r="A589">
        <v>588</v>
      </c>
      <c r="B589">
        <v>969</v>
      </c>
      <c r="C589">
        <v>63</v>
      </c>
      <c r="D589" s="2">
        <v>45726</v>
      </c>
      <c r="F589">
        <v>333.83</v>
      </c>
      <c r="G589">
        <v>1669.15</v>
      </c>
    </row>
    <row r="590" spans="1:7" x14ac:dyDescent="0.25">
      <c r="A590">
        <v>589</v>
      </c>
      <c r="B590">
        <v>786</v>
      </c>
      <c r="C590">
        <v>17</v>
      </c>
      <c r="D590" s="2">
        <v>45654</v>
      </c>
      <c r="F590">
        <v>382.26</v>
      </c>
      <c r="G590">
        <v>1911.3</v>
      </c>
    </row>
    <row r="591" spans="1:7" x14ac:dyDescent="0.25">
      <c r="A591">
        <v>590</v>
      </c>
      <c r="B591">
        <v>752</v>
      </c>
      <c r="C591">
        <v>71</v>
      </c>
      <c r="D591" s="2">
        <v>45776</v>
      </c>
      <c r="F591">
        <v>442.45</v>
      </c>
      <c r="G591">
        <v>442.45</v>
      </c>
    </row>
    <row r="592" spans="1:7" x14ac:dyDescent="0.25">
      <c r="A592">
        <v>591</v>
      </c>
      <c r="B592">
        <v>913</v>
      </c>
      <c r="C592">
        <v>40</v>
      </c>
      <c r="D592" s="2">
        <v>45604</v>
      </c>
      <c r="F592">
        <v>606.66999999999996</v>
      </c>
      <c r="G592">
        <v>2426.6799999999998</v>
      </c>
    </row>
    <row r="593" spans="1:7" x14ac:dyDescent="0.25">
      <c r="A593">
        <v>592</v>
      </c>
      <c r="B593">
        <v>947</v>
      </c>
      <c r="C593">
        <v>53</v>
      </c>
      <c r="D593" s="2">
        <v>45544</v>
      </c>
      <c r="F593">
        <v>375.17</v>
      </c>
      <c r="G593">
        <v>750.34</v>
      </c>
    </row>
    <row r="594" spans="1:7" x14ac:dyDescent="0.25">
      <c r="A594">
        <v>593</v>
      </c>
      <c r="B594">
        <v>958</v>
      </c>
      <c r="C594">
        <v>48</v>
      </c>
      <c r="D594" s="2">
        <v>45578</v>
      </c>
      <c r="F594">
        <v>443.88</v>
      </c>
      <c r="G594">
        <v>2219.4</v>
      </c>
    </row>
    <row r="595" spans="1:7" x14ac:dyDescent="0.25">
      <c r="A595">
        <v>594</v>
      </c>
      <c r="B595">
        <v>958</v>
      </c>
      <c r="C595">
        <v>17</v>
      </c>
      <c r="D595" s="2">
        <v>45468</v>
      </c>
      <c r="F595">
        <v>314.89999999999998</v>
      </c>
      <c r="G595">
        <v>944.7</v>
      </c>
    </row>
    <row r="596" spans="1:7" x14ac:dyDescent="0.25">
      <c r="A596">
        <v>595</v>
      </c>
      <c r="B596">
        <v>976</v>
      </c>
      <c r="C596">
        <v>94</v>
      </c>
      <c r="D596" s="2">
        <v>45699</v>
      </c>
      <c r="F596">
        <v>229.73</v>
      </c>
      <c r="G596">
        <v>459.46</v>
      </c>
    </row>
    <row r="597" spans="1:7" x14ac:dyDescent="0.25">
      <c r="A597">
        <v>596</v>
      </c>
      <c r="B597">
        <v>996</v>
      </c>
      <c r="C597">
        <v>70</v>
      </c>
      <c r="D597" s="2">
        <v>45629</v>
      </c>
      <c r="F597">
        <v>645.59</v>
      </c>
      <c r="G597">
        <v>1291.18</v>
      </c>
    </row>
    <row r="598" spans="1:7" x14ac:dyDescent="0.25">
      <c r="A598">
        <v>597</v>
      </c>
      <c r="B598">
        <v>933</v>
      </c>
      <c r="C598">
        <v>80</v>
      </c>
      <c r="D598" s="2">
        <v>45449</v>
      </c>
      <c r="F598">
        <v>186.17</v>
      </c>
      <c r="G598">
        <v>744.68</v>
      </c>
    </row>
    <row r="599" spans="1:7" x14ac:dyDescent="0.25">
      <c r="A599">
        <v>598</v>
      </c>
      <c r="B599">
        <v>881</v>
      </c>
      <c r="C599">
        <v>33</v>
      </c>
      <c r="D599" s="2">
        <v>45425</v>
      </c>
      <c r="F599">
        <v>296.81</v>
      </c>
      <c r="G599">
        <v>593.62</v>
      </c>
    </row>
    <row r="600" spans="1:7" x14ac:dyDescent="0.25">
      <c r="A600">
        <v>599</v>
      </c>
      <c r="B600">
        <v>893</v>
      </c>
      <c r="C600">
        <v>77</v>
      </c>
      <c r="D600" s="2">
        <v>45682</v>
      </c>
      <c r="F600">
        <v>859.56</v>
      </c>
      <c r="G600">
        <v>859.56</v>
      </c>
    </row>
    <row r="601" spans="1:7" x14ac:dyDescent="0.25">
      <c r="A601">
        <v>600</v>
      </c>
      <c r="B601">
        <v>954</v>
      </c>
      <c r="C601">
        <v>97</v>
      </c>
      <c r="D601" s="2">
        <v>45606</v>
      </c>
      <c r="F601">
        <v>635.39</v>
      </c>
      <c r="G601">
        <v>635.39</v>
      </c>
    </row>
    <row r="602" spans="1:7" x14ac:dyDescent="0.25">
      <c r="A602">
        <v>601</v>
      </c>
      <c r="B602">
        <v>926</v>
      </c>
      <c r="C602">
        <v>59</v>
      </c>
      <c r="D602" s="2">
        <v>45443</v>
      </c>
      <c r="F602">
        <v>597.35</v>
      </c>
      <c r="G602">
        <v>2389.4</v>
      </c>
    </row>
    <row r="603" spans="1:7" x14ac:dyDescent="0.25">
      <c r="A603">
        <v>602</v>
      </c>
      <c r="B603">
        <v>963</v>
      </c>
      <c r="C603">
        <v>67</v>
      </c>
      <c r="D603" s="2">
        <v>45467</v>
      </c>
      <c r="F603">
        <v>846.87</v>
      </c>
      <c r="G603">
        <v>846.87</v>
      </c>
    </row>
    <row r="604" spans="1:7" x14ac:dyDescent="0.25">
      <c r="A604">
        <v>603</v>
      </c>
      <c r="B604">
        <v>878</v>
      </c>
      <c r="C604">
        <v>92</v>
      </c>
      <c r="D604" s="2">
        <v>45499</v>
      </c>
      <c r="F604">
        <v>962.59</v>
      </c>
      <c r="G604">
        <v>1925.18</v>
      </c>
    </row>
    <row r="605" spans="1:7" x14ac:dyDescent="0.25">
      <c r="A605">
        <v>604</v>
      </c>
      <c r="B605">
        <v>942</v>
      </c>
      <c r="C605">
        <v>4</v>
      </c>
      <c r="D605" s="2">
        <v>45752</v>
      </c>
      <c r="F605">
        <v>158.71</v>
      </c>
      <c r="G605">
        <v>158.71</v>
      </c>
    </row>
    <row r="606" spans="1:7" x14ac:dyDescent="0.25">
      <c r="A606">
        <v>605</v>
      </c>
      <c r="B606">
        <v>976</v>
      </c>
      <c r="C606">
        <v>75</v>
      </c>
      <c r="D606" s="2">
        <v>45507</v>
      </c>
      <c r="F606">
        <v>658.11</v>
      </c>
      <c r="G606">
        <v>3290.55</v>
      </c>
    </row>
    <row r="607" spans="1:7" x14ac:dyDescent="0.25">
      <c r="A607">
        <v>606</v>
      </c>
      <c r="B607">
        <v>976</v>
      </c>
      <c r="C607">
        <v>48</v>
      </c>
      <c r="D607" s="2">
        <v>45484</v>
      </c>
      <c r="F607">
        <v>236.68</v>
      </c>
      <c r="G607">
        <v>236.68</v>
      </c>
    </row>
    <row r="608" spans="1:7" x14ac:dyDescent="0.25">
      <c r="A608">
        <v>607</v>
      </c>
      <c r="B608">
        <v>938</v>
      </c>
      <c r="C608">
        <v>68</v>
      </c>
      <c r="D608" s="2">
        <v>45658</v>
      </c>
      <c r="F608">
        <v>720.61</v>
      </c>
      <c r="G608">
        <v>2161.83</v>
      </c>
    </row>
    <row r="609" spans="1:7" x14ac:dyDescent="0.25">
      <c r="A609">
        <v>608</v>
      </c>
      <c r="B609">
        <v>978</v>
      </c>
      <c r="C609">
        <v>8</v>
      </c>
      <c r="D609" s="2">
        <v>45552</v>
      </c>
      <c r="F609">
        <v>176.81</v>
      </c>
      <c r="G609">
        <v>353.62</v>
      </c>
    </row>
    <row r="610" spans="1:7" x14ac:dyDescent="0.25">
      <c r="A610">
        <v>609</v>
      </c>
      <c r="B610">
        <v>958</v>
      </c>
      <c r="C610">
        <v>63</v>
      </c>
      <c r="D610" s="2">
        <v>45666</v>
      </c>
      <c r="F610">
        <v>26.15</v>
      </c>
      <c r="G610">
        <v>26.15</v>
      </c>
    </row>
    <row r="611" spans="1:7" x14ac:dyDescent="0.25">
      <c r="A611">
        <v>610</v>
      </c>
      <c r="B611">
        <v>913</v>
      </c>
      <c r="C611">
        <v>8</v>
      </c>
      <c r="D611" s="2">
        <v>45518</v>
      </c>
      <c r="F611">
        <v>596.95000000000005</v>
      </c>
      <c r="G611">
        <v>596.95000000000005</v>
      </c>
    </row>
    <row r="612" spans="1:7" x14ac:dyDescent="0.25">
      <c r="A612">
        <v>611</v>
      </c>
      <c r="B612">
        <v>947</v>
      </c>
      <c r="C612">
        <v>57</v>
      </c>
      <c r="D612" s="2">
        <v>45761</v>
      </c>
      <c r="F612">
        <v>701.74</v>
      </c>
      <c r="G612">
        <v>2105.2199999999998</v>
      </c>
    </row>
    <row r="613" spans="1:7" x14ac:dyDescent="0.25">
      <c r="A613">
        <v>612</v>
      </c>
      <c r="B613">
        <v>882</v>
      </c>
      <c r="C613">
        <v>82</v>
      </c>
      <c r="D613" s="2">
        <v>45521</v>
      </c>
      <c r="F613">
        <v>90.44</v>
      </c>
      <c r="G613">
        <v>361.76</v>
      </c>
    </row>
    <row r="614" spans="1:7" x14ac:dyDescent="0.25">
      <c r="A614">
        <v>613</v>
      </c>
      <c r="B614">
        <v>969</v>
      </c>
      <c r="C614">
        <v>75</v>
      </c>
      <c r="D614" s="2">
        <v>45461</v>
      </c>
      <c r="F614">
        <v>282.39999999999998</v>
      </c>
      <c r="G614">
        <v>282.39999999999998</v>
      </c>
    </row>
    <row r="615" spans="1:7" x14ac:dyDescent="0.25">
      <c r="A615">
        <v>614</v>
      </c>
      <c r="B615">
        <v>951</v>
      </c>
      <c r="C615">
        <v>54</v>
      </c>
      <c r="D615" s="2">
        <v>45684</v>
      </c>
      <c r="F615">
        <v>541.76</v>
      </c>
      <c r="G615">
        <v>1083.52</v>
      </c>
    </row>
    <row r="616" spans="1:7" x14ac:dyDescent="0.25">
      <c r="A616">
        <v>615</v>
      </c>
      <c r="B616">
        <v>934</v>
      </c>
      <c r="C616">
        <v>58</v>
      </c>
      <c r="D616" s="2">
        <v>45787</v>
      </c>
      <c r="F616">
        <v>14.18</v>
      </c>
      <c r="G616">
        <v>14.18</v>
      </c>
    </row>
    <row r="617" spans="1:7" x14ac:dyDescent="0.25">
      <c r="A617">
        <v>616</v>
      </c>
      <c r="B617">
        <v>867</v>
      </c>
      <c r="C617">
        <v>85</v>
      </c>
      <c r="D617" s="2">
        <v>45483</v>
      </c>
      <c r="F617">
        <v>975.03</v>
      </c>
      <c r="G617">
        <v>975.03</v>
      </c>
    </row>
    <row r="618" spans="1:7" x14ac:dyDescent="0.25">
      <c r="A618">
        <v>617</v>
      </c>
      <c r="B618">
        <v>929</v>
      </c>
      <c r="C618">
        <v>65</v>
      </c>
      <c r="D618" s="2">
        <v>45655</v>
      </c>
      <c r="F618">
        <v>80.97</v>
      </c>
      <c r="G618">
        <v>161.94</v>
      </c>
    </row>
    <row r="619" spans="1:7" x14ac:dyDescent="0.25">
      <c r="A619">
        <v>618</v>
      </c>
      <c r="B619">
        <v>959</v>
      </c>
      <c r="C619">
        <v>5</v>
      </c>
      <c r="D619" s="2">
        <v>45546</v>
      </c>
      <c r="F619">
        <v>179.91</v>
      </c>
      <c r="G619">
        <v>899.55</v>
      </c>
    </row>
    <row r="620" spans="1:7" x14ac:dyDescent="0.25">
      <c r="A620">
        <v>619</v>
      </c>
      <c r="B620">
        <v>897</v>
      </c>
      <c r="C620">
        <v>45</v>
      </c>
      <c r="D620" s="2">
        <v>45590</v>
      </c>
      <c r="F620">
        <v>245.7</v>
      </c>
      <c r="G620">
        <v>1228.5</v>
      </c>
    </row>
    <row r="621" spans="1:7" x14ac:dyDescent="0.25">
      <c r="A621">
        <v>620</v>
      </c>
      <c r="B621">
        <v>890</v>
      </c>
      <c r="C621">
        <v>51</v>
      </c>
      <c r="D621" s="2">
        <v>45526</v>
      </c>
      <c r="F621">
        <v>610.73</v>
      </c>
      <c r="G621">
        <v>2442.92</v>
      </c>
    </row>
    <row r="622" spans="1:7" x14ac:dyDescent="0.25">
      <c r="A622">
        <v>621</v>
      </c>
      <c r="B622">
        <v>929</v>
      </c>
      <c r="C622">
        <v>92</v>
      </c>
      <c r="D622" s="2">
        <v>45545</v>
      </c>
      <c r="F622">
        <v>245.99</v>
      </c>
      <c r="G622">
        <v>737.97</v>
      </c>
    </row>
    <row r="623" spans="1:7" x14ac:dyDescent="0.25">
      <c r="A623">
        <v>622</v>
      </c>
      <c r="B623">
        <v>952</v>
      </c>
      <c r="C623">
        <v>47</v>
      </c>
      <c r="D623" s="2">
        <v>45472</v>
      </c>
      <c r="F623">
        <v>80.75</v>
      </c>
      <c r="G623">
        <v>323</v>
      </c>
    </row>
    <row r="624" spans="1:7" x14ac:dyDescent="0.25">
      <c r="A624">
        <v>623</v>
      </c>
      <c r="B624">
        <v>938</v>
      </c>
      <c r="C624">
        <v>89</v>
      </c>
      <c r="D624" s="2">
        <v>45700</v>
      </c>
      <c r="F624">
        <v>631.33000000000004</v>
      </c>
      <c r="G624">
        <v>1262.6600000000001</v>
      </c>
    </row>
    <row r="625" spans="1:7" x14ac:dyDescent="0.25">
      <c r="A625">
        <v>624</v>
      </c>
      <c r="B625">
        <v>867</v>
      </c>
      <c r="C625">
        <v>95</v>
      </c>
      <c r="D625" s="2">
        <v>45713</v>
      </c>
      <c r="F625">
        <v>211.69</v>
      </c>
      <c r="G625">
        <v>846.76</v>
      </c>
    </row>
    <row r="626" spans="1:7" x14ac:dyDescent="0.25">
      <c r="A626">
        <v>625</v>
      </c>
      <c r="B626">
        <v>976</v>
      </c>
      <c r="C626">
        <v>83</v>
      </c>
      <c r="D626" s="2">
        <v>45751</v>
      </c>
      <c r="F626">
        <v>861.19</v>
      </c>
      <c r="G626">
        <v>1722.38</v>
      </c>
    </row>
    <row r="627" spans="1:7" x14ac:dyDescent="0.25">
      <c r="A627">
        <v>626</v>
      </c>
      <c r="B627">
        <v>973</v>
      </c>
      <c r="C627">
        <v>89</v>
      </c>
      <c r="D627" s="2">
        <v>45771</v>
      </c>
      <c r="F627">
        <v>889.48</v>
      </c>
      <c r="G627">
        <v>2668.44</v>
      </c>
    </row>
    <row r="628" spans="1:7" x14ac:dyDescent="0.25">
      <c r="A628">
        <v>627</v>
      </c>
      <c r="B628">
        <v>626</v>
      </c>
      <c r="C628">
        <v>9</v>
      </c>
      <c r="D628" s="2">
        <v>45463</v>
      </c>
      <c r="F628">
        <v>432.46</v>
      </c>
      <c r="G628">
        <v>2162.3000000000002</v>
      </c>
    </row>
    <row r="629" spans="1:7" x14ac:dyDescent="0.25">
      <c r="A629">
        <v>628</v>
      </c>
      <c r="B629">
        <v>986</v>
      </c>
      <c r="C629">
        <v>86</v>
      </c>
      <c r="D629" s="2">
        <v>45718</v>
      </c>
      <c r="F629">
        <v>976.76</v>
      </c>
      <c r="G629">
        <v>4883.8</v>
      </c>
    </row>
    <row r="630" spans="1:7" x14ac:dyDescent="0.25">
      <c r="A630">
        <v>629</v>
      </c>
      <c r="B630">
        <v>986</v>
      </c>
      <c r="C630">
        <v>73</v>
      </c>
      <c r="D630" s="2">
        <v>45428</v>
      </c>
      <c r="F630">
        <v>623.28</v>
      </c>
      <c r="G630">
        <v>3116.4</v>
      </c>
    </row>
    <row r="631" spans="1:7" x14ac:dyDescent="0.25">
      <c r="A631">
        <v>630</v>
      </c>
      <c r="B631">
        <v>994</v>
      </c>
      <c r="C631">
        <v>17</v>
      </c>
      <c r="D631" s="2">
        <v>45678</v>
      </c>
      <c r="F631">
        <v>31.71</v>
      </c>
      <c r="G631">
        <v>126.84</v>
      </c>
    </row>
    <row r="632" spans="1:7" x14ac:dyDescent="0.25">
      <c r="A632">
        <v>631</v>
      </c>
      <c r="B632">
        <v>882</v>
      </c>
      <c r="C632">
        <v>11</v>
      </c>
      <c r="D632" s="2">
        <v>45474</v>
      </c>
      <c r="F632">
        <v>978.04</v>
      </c>
      <c r="G632">
        <v>3912.16</v>
      </c>
    </row>
    <row r="633" spans="1:7" x14ac:dyDescent="0.25">
      <c r="A633">
        <v>632</v>
      </c>
      <c r="B633">
        <v>793</v>
      </c>
      <c r="C633">
        <v>77</v>
      </c>
      <c r="D633" s="2">
        <v>45767</v>
      </c>
      <c r="F633">
        <v>449.59</v>
      </c>
      <c r="G633">
        <v>1798.36</v>
      </c>
    </row>
    <row r="634" spans="1:7" x14ac:dyDescent="0.25">
      <c r="A634">
        <v>633</v>
      </c>
      <c r="B634">
        <v>952</v>
      </c>
      <c r="C634">
        <v>54</v>
      </c>
      <c r="D634" s="2">
        <v>45476</v>
      </c>
      <c r="F634">
        <v>712.49</v>
      </c>
      <c r="G634">
        <v>2137.4699999999998</v>
      </c>
    </row>
    <row r="635" spans="1:7" x14ac:dyDescent="0.25">
      <c r="A635">
        <v>634</v>
      </c>
      <c r="B635">
        <v>841</v>
      </c>
      <c r="C635">
        <v>6</v>
      </c>
      <c r="D635" s="2">
        <v>45428</v>
      </c>
      <c r="F635">
        <v>308.39</v>
      </c>
      <c r="G635">
        <v>308.39</v>
      </c>
    </row>
    <row r="636" spans="1:7" x14ac:dyDescent="0.25">
      <c r="A636">
        <v>635</v>
      </c>
      <c r="B636">
        <v>922</v>
      </c>
      <c r="C636">
        <v>2</v>
      </c>
      <c r="D636" s="2">
        <v>45626</v>
      </c>
      <c r="F636">
        <v>615.23</v>
      </c>
      <c r="G636">
        <v>2460.92</v>
      </c>
    </row>
    <row r="637" spans="1:7" x14ac:dyDescent="0.25">
      <c r="A637">
        <v>636</v>
      </c>
      <c r="B637">
        <v>992</v>
      </c>
      <c r="C637">
        <v>73</v>
      </c>
      <c r="D637" s="2">
        <v>45631</v>
      </c>
      <c r="F637">
        <v>994.49</v>
      </c>
      <c r="G637">
        <v>3977.96</v>
      </c>
    </row>
    <row r="638" spans="1:7" x14ac:dyDescent="0.25">
      <c r="A638">
        <v>637</v>
      </c>
      <c r="B638">
        <v>994</v>
      </c>
      <c r="C638">
        <v>23</v>
      </c>
      <c r="D638" s="2">
        <v>45539</v>
      </c>
      <c r="F638">
        <v>469.19</v>
      </c>
      <c r="G638">
        <v>938.38</v>
      </c>
    </row>
    <row r="639" spans="1:7" x14ac:dyDescent="0.25">
      <c r="A639">
        <v>638</v>
      </c>
      <c r="B639">
        <v>997</v>
      </c>
      <c r="C639">
        <v>18</v>
      </c>
      <c r="D639" s="2">
        <v>45673</v>
      </c>
      <c r="F639">
        <v>836.64</v>
      </c>
      <c r="G639">
        <v>3346.56</v>
      </c>
    </row>
    <row r="640" spans="1:7" x14ac:dyDescent="0.25">
      <c r="A640">
        <v>639</v>
      </c>
      <c r="B640">
        <v>988</v>
      </c>
      <c r="C640">
        <v>40</v>
      </c>
      <c r="D640" s="2">
        <v>45622</v>
      </c>
      <c r="F640">
        <v>221.93</v>
      </c>
      <c r="G640">
        <v>887.72</v>
      </c>
    </row>
    <row r="641" spans="1:7" x14ac:dyDescent="0.25">
      <c r="A641">
        <v>640</v>
      </c>
      <c r="B641">
        <v>882</v>
      </c>
      <c r="C641">
        <v>11</v>
      </c>
      <c r="D641" s="2">
        <v>45778</v>
      </c>
      <c r="F641">
        <v>194.61</v>
      </c>
      <c r="G641">
        <v>389.22</v>
      </c>
    </row>
    <row r="642" spans="1:7" x14ac:dyDescent="0.25">
      <c r="A642">
        <v>641</v>
      </c>
      <c r="B642">
        <v>963</v>
      </c>
      <c r="C642">
        <v>83</v>
      </c>
      <c r="D642" s="2">
        <v>45751</v>
      </c>
      <c r="F642">
        <v>965.27</v>
      </c>
      <c r="G642">
        <v>965.27</v>
      </c>
    </row>
    <row r="643" spans="1:7" x14ac:dyDescent="0.25">
      <c r="A643">
        <v>642</v>
      </c>
      <c r="B643">
        <v>924</v>
      </c>
      <c r="C643">
        <v>75</v>
      </c>
      <c r="D643" s="2">
        <v>45487</v>
      </c>
      <c r="F643">
        <v>815.52</v>
      </c>
      <c r="G643">
        <v>815.52</v>
      </c>
    </row>
    <row r="644" spans="1:7" x14ac:dyDescent="0.25">
      <c r="A644">
        <v>643</v>
      </c>
      <c r="B644">
        <v>651</v>
      </c>
      <c r="C644">
        <v>7</v>
      </c>
      <c r="D644" s="2">
        <v>45553</v>
      </c>
      <c r="F644">
        <v>784.26</v>
      </c>
      <c r="G644">
        <v>2352.7800000000002</v>
      </c>
    </row>
    <row r="645" spans="1:7" x14ac:dyDescent="0.25">
      <c r="A645">
        <v>644</v>
      </c>
      <c r="B645">
        <v>991</v>
      </c>
      <c r="C645">
        <v>6</v>
      </c>
      <c r="D645" s="2">
        <v>45515</v>
      </c>
      <c r="F645">
        <v>742.25</v>
      </c>
      <c r="G645">
        <v>3711.25</v>
      </c>
    </row>
    <row r="646" spans="1:7" x14ac:dyDescent="0.25">
      <c r="A646">
        <v>645</v>
      </c>
      <c r="B646">
        <v>996</v>
      </c>
      <c r="C646">
        <v>10</v>
      </c>
      <c r="D646" s="2">
        <v>45470</v>
      </c>
      <c r="F646">
        <v>569.99</v>
      </c>
      <c r="G646">
        <v>1709.97</v>
      </c>
    </row>
    <row r="647" spans="1:7" x14ac:dyDescent="0.25">
      <c r="A647">
        <v>646</v>
      </c>
      <c r="B647">
        <v>984</v>
      </c>
      <c r="C647">
        <v>82</v>
      </c>
      <c r="D647" s="2">
        <v>45767</v>
      </c>
      <c r="F647">
        <v>558.17999999999995</v>
      </c>
      <c r="G647">
        <v>2232.7199999999998</v>
      </c>
    </row>
    <row r="648" spans="1:7" x14ac:dyDescent="0.25">
      <c r="A648">
        <v>647</v>
      </c>
      <c r="B648">
        <v>867</v>
      </c>
      <c r="C648">
        <v>45</v>
      </c>
      <c r="D648" s="2">
        <v>45770</v>
      </c>
      <c r="F648">
        <v>365.4</v>
      </c>
      <c r="G648">
        <v>1461.6</v>
      </c>
    </row>
    <row r="649" spans="1:7" x14ac:dyDescent="0.25">
      <c r="A649">
        <v>648</v>
      </c>
      <c r="B649">
        <v>936</v>
      </c>
      <c r="C649">
        <v>49</v>
      </c>
      <c r="D649" s="2">
        <v>45475</v>
      </c>
      <c r="F649">
        <v>342.77</v>
      </c>
      <c r="G649">
        <v>1371.08</v>
      </c>
    </row>
    <row r="650" spans="1:7" x14ac:dyDescent="0.25">
      <c r="A650">
        <v>649</v>
      </c>
      <c r="B650">
        <v>873</v>
      </c>
      <c r="C650">
        <v>99</v>
      </c>
      <c r="D650" s="2">
        <v>45487</v>
      </c>
      <c r="F650">
        <v>820.93</v>
      </c>
      <c r="G650">
        <v>3283.72</v>
      </c>
    </row>
    <row r="651" spans="1:7" x14ac:dyDescent="0.25">
      <c r="A651">
        <v>650</v>
      </c>
      <c r="B651">
        <v>922</v>
      </c>
      <c r="C651">
        <v>47</v>
      </c>
      <c r="D651" s="2">
        <v>45484</v>
      </c>
      <c r="F651">
        <v>738.22</v>
      </c>
      <c r="G651">
        <v>3691.1</v>
      </c>
    </row>
    <row r="652" spans="1:7" x14ac:dyDescent="0.25">
      <c r="A652">
        <v>651</v>
      </c>
      <c r="B652">
        <v>793</v>
      </c>
      <c r="C652">
        <v>35</v>
      </c>
      <c r="D652" s="2">
        <v>45441</v>
      </c>
      <c r="F652">
        <v>481.03</v>
      </c>
      <c r="G652">
        <v>2405.15</v>
      </c>
    </row>
    <row r="653" spans="1:7" x14ac:dyDescent="0.25">
      <c r="A653">
        <v>652</v>
      </c>
      <c r="B653">
        <v>651</v>
      </c>
      <c r="C653">
        <v>43</v>
      </c>
      <c r="D653" s="2">
        <v>45631</v>
      </c>
      <c r="F653">
        <v>920.92</v>
      </c>
      <c r="G653">
        <v>2762.76</v>
      </c>
    </row>
    <row r="654" spans="1:7" x14ac:dyDescent="0.25">
      <c r="A654">
        <v>653</v>
      </c>
      <c r="B654">
        <v>882</v>
      </c>
      <c r="C654">
        <v>93</v>
      </c>
      <c r="D654" s="2">
        <v>45453</v>
      </c>
      <c r="F654">
        <v>176.77</v>
      </c>
      <c r="G654">
        <v>176.77</v>
      </c>
    </row>
    <row r="655" spans="1:7" x14ac:dyDescent="0.25">
      <c r="A655">
        <v>654</v>
      </c>
      <c r="B655">
        <v>926</v>
      </c>
      <c r="C655">
        <v>32</v>
      </c>
      <c r="D655" s="2">
        <v>45737</v>
      </c>
      <c r="F655">
        <v>321.36</v>
      </c>
      <c r="G655">
        <v>642.72</v>
      </c>
    </row>
    <row r="656" spans="1:7" x14ac:dyDescent="0.25">
      <c r="A656">
        <v>655</v>
      </c>
      <c r="B656">
        <v>922</v>
      </c>
      <c r="C656">
        <v>10</v>
      </c>
      <c r="D656" s="2">
        <v>45442</v>
      </c>
      <c r="F656">
        <v>288</v>
      </c>
      <c r="G656">
        <v>864</v>
      </c>
    </row>
    <row r="657" spans="1:7" x14ac:dyDescent="0.25">
      <c r="A657">
        <v>656</v>
      </c>
      <c r="B657">
        <v>977</v>
      </c>
      <c r="C657">
        <v>18</v>
      </c>
      <c r="D657" s="2">
        <v>45513</v>
      </c>
      <c r="F657">
        <v>501.46</v>
      </c>
      <c r="G657">
        <v>2005.84</v>
      </c>
    </row>
    <row r="658" spans="1:7" x14ac:dyDescent="0.25">
      <c r="A658">
        <v>657</v>
      </c>
      <c r="B658">
        <v>963</v>
      </c>
      <c r="C658">
        <v>8</v>
      </c>
      <c r="D658" s="2">
        <v>45627</v>
      </c>
      <c r="F658">
        <v>128.86000000000001</v>
      </c>
      <c r="G658">
        <v>386.58</v>
      </c>
    </row>
    <row r="659" spans="1:7" x14ac:dyDescent="0.25">
      <c r="A659">
        <v>658</v>
      </c>
      <c r="B659">
        <v>793</v>
      </c>
      <c r="C659">
        <v>90</v>
      </c>
      <c r="D659" s="2">
        <v>45616</v>
      </c>
      <c r="F659">
        <v>124.45</v>
      </c>
      <c r="G659">
        <v>124.45</v>
      </c>
    </row>
    <row r="660" spans="1:7" x14ac:dyDescent="0.25">
      <c r="A660">
        <v>659</v>
      </c>
      <c r="B660">
        <v>885</v>
      </c>
      <c r="C660">
        <v>13</v>
      </c>
      <c r="D660" s="2">
        <v>45698</v>
      </c>
      <c r="F660">
        <v>645.22</v>
      </c>
      <c r="G660">
        <v>1935.66</v>
      </c>
    </row>
    <row r="661" spans="1:7" x14ac:dyDescent="0.25">
      <c r="A661">
        <v>660</v>
      </c>
      <c r="B661">
        <v>878</v>
      </c>
      <c r="C661">
        <v>97</v>
      </c>
      <c r="D661" s="2">
        <v>45732</v>
      </c>
      <c r="F661">
        <v>517.87</v>
      </c>
      <c r="G661">
        <v>1035.74</v>
      </c>
    </row>
    <row r="662" spans="1:7" x14ac:dyDescent="0.25">
      <c r="A662">
        <v>661</v>
      </c>
      <c r="B662">
        <v>987</v>
      </c>
      <c r="C662">
        <v>94</v>
      </c>
      <c r="D662" s="2">
        <v>45472</v>
      </c>
      <c r="F662">
        <v>329.76</v>
      </c>
      <c r="G662">
        <v>1319.04</v>
      </c>
    </row>
    <row r="663" spans="1:7" x14ac:dyDescent="0.25">
      <c r="A663">
        <v>662</v>
      </c>
      <c r="B663">
        <v>786</v>
      </c>
      <c r="C663">
        <v>4</v>
      </c>
      <c r="D663" s="2">
        <v>45784</v>
      </c>
      <c r="F663">
        <v>778.88</v>
      </c>
      <c r="G663">
        <v>2336.64</v>
      </c>
    </row>
    <row r="664" spans="1:7" x14ac:dyDescent="0.25">
      <c r="A664">
        <v>663</v>
      </c>
      <c r="B664">
        <v>841</v>
      </c>
      <c r="C664">
        <v>16</v>
      </c>
      <c r="D664" s="2">
        <v>45616</v>
      </c>
      <c r="F664">
        <v>657.98</v>
      </c>
      <c r="G664">
        <v>1973.94</v>
      </c>
    </row>
    <row r="665" spans="1:7" x14ac:dyDescent="0.25">
      <c r="A665">
        <v>664</v>
      </c>
      <c r="B665">
        <v>973</v>
      </c>
      <c r="C665">
        <v>43</v>
      </c>
      <c r="D665" s="2">
        <v>45458</v>
      </c>
      <c r="F665">
        <v>176.08</v>
      </c>
      <c r="G665">
        <v>528.24</v>
      </c>
    </row>
    <row r="666" spans="1:7" x14ac:dyDescent="0.25">
      <c r="A666">
        <v>665</v>
      </c>
      <c r="B666">
        <v>978</v>
      </c>
      <c r="C666">
        <v>42</v>
      </c>
      <c r="D666" s="2">
        <v>45515</v>
      </c>
      <c r="F666">
        <v>233.54</v>
      </c>
      <c r="G666">
        <v>700.62</v>
      </c>
    </row>
    <row r="667" spans="1:7" x14ac:dyDescent="0.25">
      <c r="A667">
        <v>666</v>
      </c>
      <c r="B667">
        <v>963</v>
      </c>
      <c r="C667">
        <v>15</v>
      </c>
      <c r="D667" s="2">
        <v>45536</v>
      </c>
      <c r="F667">
        <v>328.61</v>
      </c>
      <c r="G667">
        <v>328.61</v>
      </c>
    </row>
    <row r="668" spans="1:7" x14ac:dyDescent="0.25">
      <c r="A668">
        <v>667</v>
      </c>
      <c r="B668">
        <v>897</v>
      </c>
      <c r="C668">
        <v>78</v>
      </c>
      <c r="D668" s="2">
        <v>45593</v>
      </c>
      <c r="F668">
        <v>794.58</v>
      </c>
      <c r="G668">
        <v>1589.16</v>
      </c>
    </row>
    <row r="669" spans="1:7" x14ac:dyDescent="0.25">
      <c r="A669">
        <v>668</v>
      </c>
      <c r="B669">
        <v>885</v>
      </c>
      <c r="C669">
        <v>16</v>
      </c>
      <c r="D669" s="2">
        <v>45451</v>
      </c>
      <c r="F669">
        <v>407.19</v>
      </c>
      <c r="G669">
        <v>814.38</v>
      </c>
    </row>
    <row r="670" spans="1:7" x14ac:dyDescent="0.25">
      <c r="A670">
        <v>669</v>
      </c>
      <c r="B670">
        <v>986</v>
      </c>
      <c r="C670">
        <v>80</v>
      </c>
      <c r="D670" s="2">
        <v>45735</v>
      </c>
      <c r="F670">
        <v>226.6</v>
      </c>
      <c r="G670">
        <v>1133</v>
      </c>
    </row>
    <row r="671" spans="1:7" x14ac:dyDescent="0.25">
      <c r="A671">
        <v>670</v>
      </c>
      <c r="B671">
        <v>942</v>
      </c>
      <c r="C671">
        <v>12</v>
      </c>
      <c r="D671" s="2">
        <v>45492</v>
      </c>
      <c r="F671">
        <v>952.13</v>
      </c>
      <c r="G671">
        <v>2856.39</v>
      </c>
    </row>
    <row r="672" spans="1:7" x14ac:dyDescent="0.25">
      <c r="A672">
        <v>671</v>
      </c>
      <c r="B672">
        <v>992</v>
      </c>
      <c r="C672">
        <v>36</v>
      </c>
      <c r="D672" s="2">
        <v>45784</v>
      </c>
      <c r="F672">
        <v>425.59</v>
      </c>
      <c r="G672">
        <v>1276.77</v>
      </c>
    </row>
    <row r="673" spans="1:7" x14ac:dyDescent="0.25">
      <c r="A673">
        <v>672</v>
      </c>
      <c r="B673">
        <v>998</v>
      </c>
      <c r="C673">
        <v>66</v>
      </c>
      <c r="D673" s="2">
        <v>45467</v>
      </c>
      <c r="F673">
        <v>492.2</v>
      </c>
      <c r="G673">
        <v>1476.6</v>
      </c>
    </row>
    <row r="674" spans="1:7" x14ac:dyDescent="0.25">
      <c r="A674">
        <v>673</v>
      </c>
      <c r="B674">
        <v>705</v>
      </c>
      <c r="C674">
        <v>30</v>
      </c>
      <c r="D674" s="2">
        <v>45701</v>
      </c>
      <c r="F674">
        <v>565.11</v>
      </c>
      <c r="G674">
        <v>565.11</v>
      </c>
    </row>
    <row r="675" spans="1:7" x14ac:dyDescent="0.25">
      <c r="A675">
        <v>674</v>
      </c>
      <c r="B675">
        <v>982</v>
      </c>
      <c r="C675">
        <v>6</v>
      </c>
      <c r="D675" s="2">
        <v>45697</v>
      </c>
      <c r="F675">
        <v>722.48</v>
      </c>
      <c r="G675">
        <v>2167.44</v>
      </c>
    </row>
    <row r="676" spans="1:7" x14ac:dyDescent="0.25">
      <c r="A676">
        <v>675</v>
      </c>
      <c r="B676">
        <v>812</v>
      </c>
      <c r="C676">
        <v>54</v>
      </c>
      <c r="D676" s="2">
        <v>45684</v>
      </c>
      <c r="F676">
        <v>64.14</v>
      </c>
      <c r="G676">
        <v>64.14</v>
      </c>
    </row>
    <row r="677" spans="1:7" x14ac:dyDescent="0.25">
      <c r="A677">
        <v>676</v>
      </c>
      <c r="B677">
        <v>926</v>
      </c>
      <c r="C677">
        <v>26</v>
      </c>
      <c r="D677" s="2">
        <v>45564</v>
      </c>
      <c r="F677">
        <v>625.38</v>
      </c>
      <c r="G677">
        <v>1250.76</v>
      </c>
    </row>
    <row r="678" spans="1:7" x14ac:dyDescent="0.25">
      <c r="A678">
        <v>677</v>
      </c>
      <c r="B678">
        <v>933</v>
      </c>
      <c r="C678">
        <v>1</v>
      </c>
      <c r="D678" s="2">
        <v>45767</v>
      </c>
      <c r="F678">
        <v>435.6</v>
      </c>
      <c r="G678">
        <v>1306.8</v>
      </c>
    </row>
    <row r="679" spans="1:7" x14ac:dyDescent="0.25">
      <c r="A679">
        <v>678</v>
      </c>
      <c r="B679">
        <v>940</v>
      </c>
      <c r="C679">
        <v>57</v>
      </c>
      <c r="D679" s="2">
        <v>45595</v>
      </c>
      <c r="F679">
        <v>348.81</v>
      </c>
      <c r="G679">
        <v>348.81</v>
      </c>
    </row>
    <row r="680" spans="1:7" x14ac:dyDescent="0.25">
      <c r="A680">
        <v>679</v>
      </c>
      <c r="B680">
        <v>948</v>
      </c>
      <c r="C680">
        <v>46</v>
      </c>
      <c r="D680" s="2">
        <v>45455</v>
      </c>
      <c r="F680">
        <v>893.55</v>
      </c>
      <c r="G680">
        <v>1787.1</v>
      </c>
    </row>
    <row r="681" spans="1:7" x14ac:dyDescent="0.25">
      <c r="A681">
        <v>680</v>
      </c>
      <c r="B681">
        <v>917</v>
      </c>
      <c r="C681">
        <v>9</v>
      </c>
      <c r="D681" s="2">
        <v>45555</v>
      </c>
      <c r="F681">
        <v>398.62</v>
      </c>
      <c r="G681">
        <v>1195.8599999999999</v>
      </c>
    </row>
    <row r="682" spans="1:7" x14ac:dyDescent="0.25">
      <c r="A682">
        <v>681</v>
      </c>
      <c r="B682">
        <v>913</v>
      </c>
      <c r="C682">
        <v>27</v>
      </c>
      <c r="D682" s="2">
        <v>45590</v>
      </c>
      <c r="F682">
        <v>671.89</v>
      </c>
      <c r="G682">
        <v>671.89</v>
      </c>
    </row>
    <row r="683" spans="1:7" x14ac:dyDescent="0.25">
      <c r="A683">
        <v>682</v>
      </c>
      <c r="B683">
        <v>786</v>
      </c>
      <c r="C683">
        <v>65</v>
      </c>
      <c r="D683" s="2">
        <v>45468</v>
      </c>
      <c r="F683">
        <v>340.44</v>
      </c>
      <c r="G683">
        <v>680.88</v>
      </c>
    </row>
    <row r="684" spans="1:7" x14ac:dyDescent="0.25">
      <c r="A684">
        <v>683</v>
      </c>
      <c r="B684">
        <v>988</v>
      </c>
      <c r="C684">
        <v>100</v>
      </c>
      <c r="D684" s="2">
        <v>45454</v>
      </c>
      <c r="F684">
        <v>729.97</v>
      </c>
      <c r="G684">
        <v>1459.94</v>
      </c>
    </row>
    <row r="685" spans="1:7" x14ac:dyDescent="0.25">
      <c r="A685">
        <v>684</v>
      </c>
      <c r="B685">
        <v>947</v>
      </c>
      <c r="C685">
        <v>21</v>
      </c>
      <c r="D685" s="2">
        <v>45773</v>
      </c>
      <c r="F685">
        <v>152.43</v>
      </c>
      <c r="G685">
        <v>304.86</v>
      </c>
    </row>
    <row r="686" spans="1:7" x14ac:dyDescent="0.25">
      <c r="A686">
        <v>685</v>
      </c>
      <c r="B686">
        <v>886</v>
      </c>
      <c r="C686">
        <v>39</v>
      </c>
      <c r="D686" s="2">
        <v>45678</v>
      </c>
      <c r="F686">
        <v>720.87</v>
      </c>
      <c r="G686">
        <v>2162.61</v>
      </c>
    </row>
    <row r="687" spans="1:7" x14ac:dyDescent="0.25">
      <c r="A687">
        <v>686</v>
      </c>
      <c r="B687">
        <v>685</v>
      </c>
      <c r="C687">
        <v>28</v>
      </c>
      <c r="D687" s="2">
        <v>45748</v>
      </c>
      <c r="F687">
        <v>156.32</v>
      </c>
      <c r="G687">
        <v>625.28</v>
      </c>
    </row>
    <row r="688" spans="1:7" x14ac:dyDescent="0.25">
      <c r="A688">
        <v>687</v>
      </c>
      <c r="B688">
        <v>974</v>
      </c>
      <c r="C688">
        <v>98</v>
      </c>
      <c r="D688" s="2">
        <v>45520</v>
      </c>
      <c r="F688">
        <v>963.04</v>
      </c>
      <c r="G688">
        <v>3852.16</v>
      </c>
    </row>
    <row r="689" spans="1:7" x14ac:dyDescent="0.25">
      <c r="A689">
        <v>688</v>
      </c>
      <c r="B689">
        <v>886</v>
      </c>
      <c r="C689">
        <v>32</v>
      </c>
      <c r="D689" s="2">
        <v>45618</v>
      </c>
      <c r="F689">
        <v>746.4</v>
      </c>
      <c r="G689">
        <v>3732</v>
      </c>
    </row>
    <row r="690" spans="1:7" x14ac:dyDescent="0.25">
      <c r="A690">
        <v>689</v>
      </c>
      <c r="B690">
        <v>959</v>
      </c>
      <c r="C690">
        <v>82</v>
      </c>
      <c r="D690" s="2">
        <v>45484</v>
      </c>
      <c r="F690">
        <v>776.37</v>
      </c>
      <c r="G690">
        <v>2329.11</v>
      </c>
    </row>
    <row r="691" spans="1:7" x14ac:dyDescent="0.25">
      <c r="A691">
        <v>690</v>
      </c>
      <c r="B691">
        <v>947</v>
      </c>
      <c r="C691">
        <v>43</v>
      </c>
      <c r="D691" s="2">
        <v>45687</v>
      </c>
      <c r="F691">
        <v>115.87</v>
      </c>
      <c r="G691">
        <v>463.48</v>
      </c>
    </row>
    <row r="692" spans="1:7" x14ac:dyDescent="0.25">
      <c r="A692">
        <v>691</v>
      </c>
      <c r="B692">
        <v>990</v>
      </c>
      <c r="C692">
        <v>31</v>
      </c>
      <c r="D692" s="2">
        <v>45515</v>
      </c>
      <c r="F692">
        <v>124.99</v>
      </c>
      <c r="G692">
        <v>249.98</v>
      </c>
    </row>
    <row r="693" spans="1:7" x14ac:dyDescent="0.25">
      <c r="A693">
        <v>692</v>
      </c>
      <c r="B693">
        <v>933</v>
      </c>
      <c r="C693">
        <v>11</v>
      </c>
      <c r="D693" s="2">
        <v>45658</v>
      </c>
      <c r="F693">
        <v>719.56</v>
      </c>
      <c r="G693">
        <v>2878.24</v>
      </c>
    </row>
    <row r="694" spans="1:7" x14ac:dyDescent="0.25">
      <c r="A694">
        <v>693</v>
      </c>
      <c r="B694">
        <v>851</v>
      </c>
      <c r="C694">
        <v>31</v>
      </c>
      <c r="D694" s="2">
        <v>45712</v>
      </c>
      <c r="F694">
        <v>18.12</v>
      </c>
      <c r="G694">
        <v>54.36</v>
      </c>
    </row>
    <row r="695" spans="1:7" x14ac:dyDescent="0.25">
      <c r="A695">
        <v>694</v>
      </c>
      <c r="B695">
        <v>943</v>
      </c>
      <c r="C695">
        <v>88</v>
      </c>
      <c r="D695" s="2">
        <v>45515</v>
      </c>
      <c r="F695">
        <v>142.84</v>
      </c>
      <c r="G695">
        <v>142.84</v>
      </c>
    </row>
    <row r="696" spans="1:7" x14ac:dyDescent="0.25">
      <c r="A696">
        <v>695</v>
      </c>
      <c r="B696">
        <v>936</v>
      </c>
      <c r="C696">
        <v>74</v>
      </c>
      <c r="D696" s="2">
        <v>45628</v>
      </c>
      <c r="F696">
        <v>247.47</v>
      </c>
      <c r="G696">
        <v>494.94</v>
      </c>
    </row>
    <row r="697" spans="1:7" x14ac:dyDescent="0.25">
      <c r="A697">
        <v>696</v>
      </c>
      <c r="B697">
        <v>695</v>
      </c>
      <c r="C697">
        <v>80</v>
      </c>
      <c r="D697" s="2">
        <v>45586</v>
      </c>
      <c r="F697">
        <v>681.16</v>
      </c>
      <c r="G697">
        <v>681.16</v>
      </c>
    </row>
    <row r="698" spans="1:7" x14ac:dyDescent="0.25">
      <c r="A698">
        <v>697</v>
      </c>
      <c r="B698">
        <v>968</v>
      </c>
      <c r="C698">
        <v>26</v>
      </c>
      <c r="D698" s="2">
        <v>45452</v>
      </c>
      <c r="F698">
        <v>921.64</v>
      </c>
      <c r="G698">
        <v>2764.92</v>
      </c>
    </row>
    <row r="699" spans="1:7" x14ac:dyDescent="0.25">
      <c r="A699">
        <v>698</v>
      </c>
      <c r="B699">
        <v>942</v>
      </c>
      <c r="C699">
        <v>69</v>
      </c>
      <c r="D699" s="2">
        <v>45584</v>
      </c>
      <c r="F699">
        <v>594.79999999999995</v>
      </c>
      <c r="G699">
        <v>594.79999999999995</v>
      </c>
    </row>
    <row r="700" spans="1:7" x14ac:dyDescent="0.25">
      <c r="A700">
        <v>699</v>
      </c>
      <c r="B700">
        <v>985</v>
      </c>
      <c r="C700">
        <v>48</v>
      </c>
      <c r="D700" s="2">
        <v>45455</v>
      </c>
      <c r="F700">
        <v>578.41</v>
      </c>
      <c r="G700">
        <v>2313.64</v>
      </c>
    </row>
    <row r="701" spans="1:7" x14ac:dyDescent="0.25">
      <c r="A701">
        <v>700</v>
      </c>
      <c r="B701">
        <v>951</v>
      </c>
      <c r="C701">
        <v>6</v>
      </c>
      <c r="D701" s="2">
        <v>45708</v>
      </c>
      <c r="F701">
        <v>796</v>
      </c>
      <c r="G701">
        <v>3184</v>
      </c>
    </row>
    <row r="702" spans="1:7" x14ac:dyDescent="0.25">
      <c r="A702">
        <v>701</v>
      </c>
      <c r="B702">
        <v>909</v>
      </c>
      <c r="C702">
        <v>43</v>
      </c>
      <c r="D702" s="2">
        <v>45741</v>
      </c>
      <c r="F702">
        <v>428.81</v>
      </c>
      <c r="G702">
        <v>2144.0500000000002</v>
      </c>
    </row>
    <row r="703" spans="1:7" x14ac:dyDescent="0.25">
      <c r="A703">
        <v>702</v>
      </c>
      <c r="B703">
        <v>950</v>
      </c>
      <c r="C703">
        <v>65</v>
      </c>
      <c r="D703" s="2">
        <v>45445</v>
      </c>
      <c r="F703">
        <v>146.13999999999999</v>
      </c>
      <c r="G703">
        <v>584.55999999999995</v>
      </c>
    </row>
    <row r="704" spans="1:7" x14ac:dyDescent="0.25">
      <c r="A704">
        <v>703</v>
      </c>
      <c r="B704">
        <v>702</v>
      </c>
      <c r="C704">
        <v>54</v>
      </c>
      <c r="D704" s="2">
        <v>45615</v>
      </c>
      <c r="F704">
        <v>877.1</v>
      </c>
      <c r="G704">
        <v>3508.4</v>
      </c>
    </row>
    <row r="705" spans="1:7" x14ac:dyDescent="0.25">
      <c r="A705">
        <v>704</v>
      </c>
      <c r="B705">
        <v>995</v>
      </c>
      <c r="C705">
        <v>47</v>
      </c>
      <c r="D705" s="2">
        <v>45557</v>
      </c>
      <c r="F705">
        <v>391.3</v>
      </c>
      <c r="G705">
        <v>391.3</v>
      </c>
    </row>
    <row r="706" spans="1:7" x14ac:dyDescent="0.25">
      <c r="A706">
        <v>705</v>
      </c>
      <c r="B706">
        <v>998</v>
      </c>
      <c r="C706">
        <v>41</v>
      </c>
      <c r="D706" s="2">
        <v>45521</v>
      </c>
      <c r="F706">
        <v>328.24</v>
      </c>
      <c r="G706">
        <v>328.24</v>
      </c>
    </row>
    <row r="707" spans="1:7" x14ac:dyDescent="0.25">
      <c r="A707">
        <v>706</v>
      </c>
      <c r="B707">
        <v>705</v>
      </c>
      <c r="C707">
        <v>6</v>
      </c>
      <c r="D707" s="2">
        <v>45775</v>
      </c>
      <c r="F707">
        <v>26.72</v>
      </c>
      <c r="G707">
        <v>106.88</v>
      </c>
    </row>
    <row r="708" spans="1:7" x14ac:dyDescent="0.25">
      <c r="A708">
        <v>707</v>
      </c>
      <c r="B708">
        <v>947</v>
      </c>
      <c r="C708">
        <v>11</v>
      </c>
      <c r="D708" s="2">
        <v>45426</v>
      </c>
      <c r="F708">
        <v>295.69</v>
      </c>
      <c r="G708">
        <v>887.07</v>
      </c>
    </row>
    <row r="709" spans="1:7" x14ac:dyDescent="0.25">
      <c r="A709">
        <v>708</v>
      </c>
      <c r="B709">
        <v>909</v>
      </c>
      <c r="C709">
        <v>67</v>
      </c>
      <c r="D709" s="2">
        <v>45664</v>
      </c>
      <c r="F709">
        <v>160.06</v>
      </c>
      <c r="G709">
        <v>160.06</v>
      </c>
    </row>
    <row r="710" spans="1:7" x14ac:dyDescent="0.25">
      <c r="A710">
        <v>709</v>
      </c>
      <c r="B710">
        <v>752</v>
      </c>
      <c r="C710">
        <v>88</v>
      </c>
      <c r="D710" s="2">
        <v>45509</v>
      </c>
      <c r="F710">
        <v>776.64</v>
      </c>
      <c r="G710">
        <v>1553.28</v>
      </c>
    </row>
    <row r="711" spans="1:7" x14ac:dyDescent="0.25">
      <c r="A711">
        <v>710</v>
      </c>
      <c r="B711">
        <v>936</v>
      </c>
      <c r="C711">
        <v>18</v>
      </c>
      <c r="D711" s="2">
        <v>45710</v>
      </c>
      <c r="F711">
        <v>36.21</v>
      </c>
      <c r="G711">
        <v>144.84</v>
      </c>
    </row>
    <row r="712" spans="1:7" x14ac:dyDescent="0.25">
      <c r="A712">
        <v>711</v>
      </c>
      <c r="B712">
        <v>854</v>
      </c>
      <c r="C712">
        <v>31</v>
      </c>
      <c r="D712" s="2">
        <v>45481</v>
      </c>
      <c r="F712">
        <v>565.26</v>
      </c>
      <c r="G712">
        <v>2826.3</v>
      </c>
    </row>
    <row r="713" spans="1:7" x14ac:dyDescent="0.25">
      <c r="A713">
        <v>712</v>
      </c>
      <c r="B713">
        <v>893</v>
      </c>
      <c r="C713">
        <v>28</v>
      </c>
      <c r="D713" s="2">
        <v>45465</v>
      </c>
      <c r="F713">
        <v>861.13</v>
      </c>
      <c r="G713">
        <v>2583.39</v>
      </c>
    </row>
    <row r="714" spans="1:7" x14ac:dyDescent="0.25">
      <c r="A714">
        <v>713</v>
      </c>
      <c r="B714">
        <v>952</v>
      </c>
      <c r="C714">
        <v>9</v>
      </c>
      <c r="D714" s="2">
        <v>45542</v>
      </c>
      <c r="F714">
        <v>849.98</v>
      </c>
      <c r="G714">
        <v>849.98</v>
      </c>
    </row>
    <row r="715" spans="1:7" x14ac:dyDescent="0.25">
      <c r="A715">
        <v>714</v>
      </c>
      <c r="B715">
        <v>957</v>
      </c>
      <c r="C715">
        <v>99</v>
      </c>
      <c r="D715" s="2">
        <v>45693</v>
      </c>
      <c r="F715">
        <v>669.17</v>
      </c>
      <c r="G715">
        <v>3345.85</v>
      </c>
    </row>
    <row r="716" spans="1:7" x14ac:dyDescent="0.25">
      <c r="A716">
        <v>715</v>
      </c>
      <c r="B716">
        <v>878</v>
      </c>
      <c r="C716">
        <v>27</v>
      </c>
      <c r="D716" s="2">
        <v>45428</v>
      </c>
      <c r="F716">
        <v>679.24</v>
      </c>
      <c r="G716">
        <v>1358.48</v>
      </c>
    </row>
    <row r="717" spans="1:7" x14ac:dyDescent="0.25">
      <c r="A717">
        <v>716</v>
      </c>
      <c r="B717">
        <v>954</v>
      </c>
      <c r="C717">
        <v>87</v>
      </c>
      <c r="D717" s="2">
        <v>45673</v>
      </c>
      <c r="F717">
        <v>341.56</v>
      </c>
      <c r="G717">
        <v>341.56</v>
      </c>
    </row>
    <row r="718" spans="1:7" x14ac:dyDescent="0.25">
      <c r="A718">
        <v>717</v>
      </c>
      <c r="B718">
        <v>917</v>
      </c>
      <c r="C718">
        <v>57</v>
      </c>
      <c r="D718" s="2">
        <v>45601</v>
      </c>
      <c r="F718">
        <v>106.71</v>
      </c>
      <c r="G718">
        <v>106.71</v>
      </c>
    </row>
    <row r="719" spans="1:7" x14ac:dyDescent="0.25">
      <c r="A719">
        <v>718</v>
      </c>
      <c r="B719">
        <v>756</v>
      </c>
      <c r="C719">
        <v>23</v>
      </c>
      <c r="D719" s="2">
        <v>45663</v>
      </c>
      <c r="F719">
        <v>465.55</v>
      </c>
      <c r="G719">
        <v>931.1</v>
      </c>
    </row>
    <row r="720" spans="1:7" x14ac:dyDescent="0.25">
      <c r="A720">
        <v>719</v>
      </c>
      <c r="B720">
        <v>752</v>
      </c>
      <c r="C720">
        <v>68</v>
      </c>
      <c r="D720" s="2">
        <v>45506</v>
      </c>
      <c r="F720">
        <v>503.35</v>
      </c>
      <c r="G720">
        <v>2013.4</v>
      </c>
    </row>
    <row r="721" spans="1:7" x14ac:dyDescent="0.25">
      <c r="A721">
        <v>720</v>
      </c>
      <c r="B721">
        <v>837</v>
      </c>
      <c r="C721">
        <v>30</v>
      </c>
      <c r="D721" s="2">
        <v>45455</v>
      </c>
      <c r="F721">
        <v>832.89</v>
      </c>
      <c r="G721">
        <v>1665.78</v>
      </c>
    </row>
    <row r="722" spans="1:7" x14ac:dyDescent="0.25">
      <c r="A722">
        <v>721</v>
      </c>
      <c r="B722">
        <v>969</v>
      </c>
      <c r="C722">
        <v>41</v>
      </c>
      <c r="D722" s="2">
        <v>45597</v>
      </c>
      <c r="F722">
        <v>432.45</v>
      </c>
      <c r="G722">
        <v>1297.3499999999999</v>
      </c>
    </row>
    <row r="723" spans="1:7" x14ac:dyDescent="0.25">
      <c r="A723">
        <v>722</v>
      </c>
      <c r="B723">
        <v>966</v>
      </c>
      <c r="C723">
        <v>49</v>
      </c>
      <c r="D723" s="2">
        <v>45690</v>
      </c>
      <c r="F723">
        <v>68.33</v>
      </c>
      <c r="G723">
        <v>136.66</v>
      </c>
    </row>
    <row r="724" spans="1:7" x14ac:dyDescent="0.25">
      <c r="A724">
        <v>723</v>
      </c>
      <c r="B724">
        <v>913</v>
      </c>
      <c r="C724">
        <v>72</v>
      </c>
      <c r="D724" s="2">
        <v>45723</v>
      </c>
      <c r="F724">
        <v>478.4</v>
      </c>
      <c r="G724">
        <v>2392</v>
      </c>
    </row>
    <row r="725" spans="1:7" x14ac:dyDescent="0.25">
      <c r="A725">
        <v>724</v>
      </c>
      <c r="B725">
        <v>901</v>
      </c>
      <c r="C725">
        <v>23</v>
      </c>
      <c r="D725" s="2">
        <v>45499</v>
      </c>
      <c r="F725">
        <v>184.36</v>
      </c>
      <c r="G725">
        <v>368.72</v>
      </c>
    </row>
    <row r="726" spans="1:7" x14ac:dyDescent="0.25">
      <c r="A726">
        <v>725</v>
      </c>
      <c r="B726">
        <v>917</v>
      </c>
      <c r="C726">
        <v>92</v>
      </c>
      <c r="D726" s="2">
        <v>45652</v>
      </c>
      <c r="F726">
        <v>399.71</v>
      </c>
      <c r="G726">
        <v>1199.1300000000001</v>
      </c>
    </row>
    <row r="727" spans="1:7" x14ac:dyDescent="0.25">
      <c r="A727">
        <v>726</v>
      </c>
      <c r="B727">
        <v>992</v>
      </c>
      <c r="C727">
        <v>72</v>
      </c>
      <c r="D727" s="2">
        <v>45773</v>
      </c>
      <c r="F727">
        <v>751.29</v>
      </c>
      <c r="G727">
        <v>2253.87</v>
      </c>
    </row>
    <row r="728" spans="1:7" x14ac:dyDescent="0.25">
      <c r="A728">
        <v>727</v>
      </c>
      <c r="B728">
        <v>752</v>
      </c>
      <c r="C728">
        <v>50</v>
      </c>
      <c r="D728" s="2">
        <v>45472</v>
      </c>
      <c r="F728">
        <v>947.72</v>
      </c>
      <c r="G728">
        <v>947.72</v>
      </c>
    </row>
    <row r="729" spans="1:7" x14ac:dyDescent="0.25">
      <c r="A729">
        <v>728</v>
      </c>
      <c r="B729">
        <v>949</v>
      </c>
      <c r="C729">
        <v>4</v>
      </c>
      <c r="D729" s="2">
        <v>45627</v>
      </c>
      <c r="F729">
        <v>516.25</v>
      </c>
      <c r="G729">
        <v>1548.75</v>
      </c>
    </row>
    <row r="730" spans="1:7" x14ac:dyDescent="0.25">
      <c r="A730">
        <v>729</v>
      </c>
      <c r="B730">
        <v>881</v>
      </c>
      <c r="C730">
        <v>91</v>
      </c>
      <c r="D730" s="2">
        <v>45430</v>
      </c>
      <c r="F730">
        <v>593.87</v>
      </c>
      <c r="G730">
        <v>2969.35</v>
      </c>
    </row>
    <row r="731" spans="1:7" x14ac:dyDescent="0.25">
      <c r="A731">
        <v>730</v>
      </c>
      <c r="B731">
        <v>997</v>
      </c>
      <c r="C731">
        <v>73</v>
      </c>
      <c r="D731" s="2">
        <v>45715</v>
      </c>
      <c r="F731">
        <v>719.64</v>
      </c>
      <c r="G731">
        <v>3598.2</v>
      </c>
    </row>
    <row r="732" spans="1:7" x14ac:dyDescent="0.25">
      <c r="A732">
        <v>731</v>
      </c>
      <c r="B732">
        <v>784</v>
      </c>
      <c r="C732">
        <v>16</v>
      </c>
      <c r="D732" s="2">
        <v>45640</v>
      </c>
      <c r="F732">
        <v>885.82</v>
      </c>
      <c r="G732">
        <v>1771.64</v>
      </c>
    </row>
    <row r="733" spans="1:7" x14ac:dyDescent="0.25">
      <c r="A733">
        <v>732</v>
      </c>
      <c r="B733">
        <v>984</v>
      </c>
      <c r="C733">
        <v>76</v>
      </c>
      <c r="D733" s="2">
        <v>45493</v>
      </c>
      <c r="F733">
        <v>786.73</v>
      </c>
      <c r="G733">
        <v>2360.19</v>
      </c>
    </row>
    <row r="734" spans="1:7" x14ac:dyDescent="0.25">
      <c r="A734">
        <v>733</v>
      </c>
      <c r="B734">
        <v>841</v>
      </c>
      <c r="C734">
        <v>62</v>
      </c>
      <c r="D734" s="2">
        <v>45668</v>
      </c>
      <c r="F734">
        <v>492.24</v>
      </c>
      <c r="G734">
        <v>1476.72</v>
      </c>
    </row>
    <row r="735" spans="1:7" x14ac:dyDescent="0.25">
      <c r="A735">
        <v>734</v>
      </c>
      <c r="B735">
        <v>938</v>
      </c>
      <c r="C735">
        <v>97</v>
      </c>
      <c r="D735" s="2">
        <v>45525</v>
      </c>
      <c r="F735">
        <v>906.33</v>
      </c>
      <c r="G735">
        <v>3625.32</v>
      </c>
    </row>
    <row r="736" spans="1:7" x14ac:dyDescent="0.25">
      <c r="A736">
        <v>735</v>
      </c>
      <c r="B736">
        <v>932</v>
      </c>
      <c r="C736">
        <v>7</v>
      </c>
      <c r="D736" s="2">
        <v>45425</v>
      </c>
      <c r="F736">
        <v>252.14</v>
      </c>
      <c r="G736">
        <v>1260.7</v>
      </c>
    </row>
    <row r="737" spans="1:7" x14ac:dyDescent="0.25">
      <c r="A737">
        <v>736</v>
      </c>
      <c r="B737">
        <v>938</v>
      </c>
      <c r="C737">
        <v>33</v>
      </c>
      <c r="D737" s="2">
        <v>45455</v>
      </c>
      <c r="F737">
        <v>694.44</v>
      </c>
      <c r="G737">
        <v>1388.88</v>
      </c>
    </row>
    <row r="738" spans="1:7" x14ac:dyDescent="0.25">
      <c r="A738">
        <v>737</v>
      </c>
      <c r="B738">
        <v>899</v>
      </c>
      <c r="C738">
        <v>59</v>
      </c>
      <c r="D738" s="2">
        <v>45729</v>
      </c>
      <c r="F738">
        <v>548.79</v>
      </c>
      <c r="G738">
        <v>2195.16</v>
      </c>
    </row>
    <row r="739" spans="1:7" x14ac:dyDescent="0.25">
      <c r="A739">
        <v>738</v>
      </c>
      <c r="B739">
        <v>752</v>
      </c>
      <c r="C739">
        <v>9</v>
      </c>
      <c r="D739" s="2">
        <v>45515</v>
      </c>
      <c r="F739">
        <v>645.65</v>
      </c>
      <c r="G739">
        <v>1291.3</v>
      </c>
    </row>
    <row r="740" spans="1:7" x14ac:dyDescent="0.25">
      <c r="A740">
        <v>739</v>
      </c>
      <c r="B740">
        <v>986</v>
      </c>
      <c r="C740">
        <v>90</v>
      </c>
      <c r="D740" s="2">
        <v>45744</v>
      </c>
      <c r="F740">
        <v>44.27</v>
      </c>
      <c r="G740">
        <v>88.54</v>
      </c>
    </row>
    <row r="741" spans="1:7" x14ac:dyDescent="0.25">
      <c r="A741">
        <v>740</v>
      </c>
      <c r="B741">
        <v>882</v>
      </c>
      <c r="C741">
        <v>39</v>
      </c>
      <c r="D741" s="2">
        <v>45588</v>
      </c>
      <c r="F741">
        <v>707.25</v>
      </c>
      <c r="G741">
        <v>2829</v>
      </c>
    </row>
    <row r="742" spans="1:7" x14ac:dyDescent="0.25">
      <c r="A742">
        <v>741</v>
      </c>
      <c r="B742">
        <v>996</v>
      </c>
      <c r="C742">
        <v>90</v>
      </c>
      <c r="D742" s="2">
        <v>45555</v>
      </c>
      <c r="F742">
        <v>341.41</v>
      </c>
      <c r="G742">
        <v>1024.23</v>
      </c>
    </row>
    <row r="743" spans="1:7" x14ac:dyDescent="0.25">
      <c r="A743">
        <v>742</v>
      </c>
      <c r="B743">
        <v>941</v>
      </c>
      <c r="C743">
        <v>41</v>
      </c>
      <c r="D743" s="2">
        <v>45515</v>
      </c>
      <c r="F743">
        <v>631.27</v>
      </c>
      <c r="G743">
        <v>3156.35</v>
      </c>
    </row>
    <row r="744" spans="1:7" x14ac:dyDescent="0.25">
      <c r="A744">
        <v>743</v>
      </c>
      <c r="B744">
        <v>909</v>
      </c>
      <c r="C744">
        <v>17</v>
      </c>
      <c r="D744" s="2">
        <v>45681</v>
      </c>
      <c r="F744">
        <v>881.78</v>
      </c>
      <c r="G744">
        <v>881.78</v>
      </c>
    </row>
    <row r="745" spans="1:7" x14ac:dyDescent="0.25">
      <c r="A745">
        <v>744</v>
      </c>
      <c r="B745">
        <v>924</v>
      </c>
      <c r="C745">
        <v>93</v>
      </c>
      <c r="D745" s="2">
        <v>45476</v>
      </c>
      <c r="F745">
        <v>76.62</v>
      </c>
      <c r="G745">
        <v>229.86</v>
      </c>
    </row>
    <row r="746" spans="1:7" x14ac:dyDescent="0.25">
      <c r="A746">
        <v>745</v>
      </c>
      <c r="B746">
        <v>938</v>
      </c>
      <c r="C746">
        <v>29</v>
      </c>
      <c r="D746" s="2">
        <v>45651</v>
      </c>
      <c r="F746">
        <v>649.47</v>
      </c>
      <c r="G746">
        <v>2597.88</v>
      </c>
    </row>
    <row r="747" spans="1:7" x14ac:dyDescent="0.25">
      <c r="A747">
        <v>746</v>
      </c>
      <c r="B747">
        <v>942</v>
      </c>
      <c r="C747">
        <v>67</v>
      </c>
      <c r="D747" s="2">
        <v>45686</v>
      </c>
      <c r="F747">
        <v>20.68</v>
      </c>
      <c r="G747">
        <v>103.4</v>
      </c>
    </row>
    <row r="748" spans="1:7" x14ac:dyDescent="0.25">
      <c r="A748">
        <v>747</v>
      </c>
      <c r="B748">
        <v>947</v>
      </c>
      <c r="C748">
        <v>86</v>
      </c>
      <c r="D748" s="2">
        <v>45474</v>
      </c>
      <c r="F748">
        <v>235.08</v>
      </c>
      <c r="G748">
        <v>705.24</v>
      </c>
    </row>
    <row r="749" spans="1:7" x14ac:dyDescent="0.25">
      <c r="A749">
        <v>748</v>
      </c>
      <c r="B749">
        <v>917</v>
      </c>
      <c r="C749">
        <v>25</v>
      </c>
      <c r="D749" s="2">
        <v>45508</v>
      </c>
      <c r="F749">
        <v>898.21</v>
      </c>
      <c r="G749">
        <v>3592.84</v>
      </c>
    </row>
    <row r="750" spans="1:7" x14ac:dyDescent="0.25">
      <c r="A750">
        <v>749</v>
      </c>
      <c r="B750">
        <v>969</v>
      </c>
      <c r="C750">
        <v>75</v>
      </c>
      <c r="D750" s="2">
        <v>45532</v>
      </c>
      <c r="F750">
        <v>513.02</v>
      </c>
      <c r="G750">
        <v>1026.04</v>
      </c>
    </row>
    <row r="751" spans="1:7" x14ac:dyDescent="0.25">
      <c r="A751">
        <v>750</v>
      </c>
      <c r="B751">
        <v>837</v>
      </c>
      <c r="C751">
        <v>94</v>
      </c>
      <c r="D751" s="2">
        <v>45656</v>
      </c>
      <c r="F751">
        <v>505.63</v>
      </c>
      <c r="G751">
        <v>1011.26</v>
      </c>
    </row>
    <row r="752" spans="1:7" x14ac:dyDescent="0.25">
      <c r="A752">
        <v>751</v>
      </c>
      <c r="B752">
        <v>979</v>
      </c>
      <c r="C752">
        <v>75</v>
      </c>
      <c r="D752" s="2">
        <v>45493</v>
      </c>
      <c r="F752">
        <v>243</v>
      </c>
      <c r="G752">
        <v>243</v>
      </c>
    </row>
    <row r="753" spans="1:7" x14ac:dyDescent="0.25">
      <c r="A753">
        <v>752</v>
      </c>
      <c r="B753">
        <v>975</v>
      </c>
      <c r="C753">
        <v>32</v>
      </c>
      <c r="D753" s="2">
        <v>45686</v>
      </c>
      <c r="F753">
        <v>131.69999999999999</v>
      </c>
      <c r="G753">
        <v>263.39999999999998</v>
      </c>
    </row>
    <row r="754" spans="1:7" x14ac:dyDescent="0.25">
      <c r="A754">
        <v>753</v>
      </c>
      <c r="B754">
        <v>752</v>
      </c>
      <c r="C754">
        <v>99</v>
      </c>
      <c r="D754" s="2">
        <v>45606</v>
      </c>
      <c r="F754">
        <v>30.21</v>
      </c>
      <c r="G754">
        <v>151.05000000000001</v>
      </c>
    </row>
    <row r="755" spans="1:7" x14ac:dyDescent="0.25">
      <c r="A755">
        <v>754</v>
      </c>
      <c r="B755">
        <v>986</v>
      </c>
      <c r="C755">
        <v>49</v>
      </c>
      <c r="D755" s="2">
        <v>45710</v>
      </c>
      <c r="F755">
        <v>645.69000000000005</v>
      </c>
      <c r="G755">
        <v>1291.3800000000001</v>
      </c>
    </row>
    <row r="756" spans="1:7" x14ac:dyDescent="0.25">
      <c r="A756">
        <v>755</v>
      </c>
      <c r="B756">
        <v>976</v>
      </c>
      <c r="C756">
        <v>74</v>
      </c>
      <c r="D756" s="2">
        <v>45593</v>
      </c>
      <c r="F756">
        <v>945.26</v>
      </c>
      <c r="G756">
        <v>1890.52</v>
      </c>
    </row>
    <row r="757" spans="1:7" x14ac:dyDescent="0.25">
      <c r="A757">
        <v>756</v>
      </c>
      <c r="B757">
        <v>979</v>
      </c>
      <c r="C757">
        <v>92</v>
      </c>
      <c r="D757" s="2">
        <v>45580</v>
      </c>
      <c r="F757">
        <v>887.57</v>
      </c>
      <c r="G757">
        <v>3550.28</v>
      </c>
    </row>
    <row r="758" spans="1:7" x14ac:dyDescent="0.25">
      <c r="A758">
        <v>757</v>
      </c>
      <c r="B758">
        <v>756</v>
      </c>
      <c r="C758">
        <v>33</v>
      </c>
      <c r="D758" s="2">
        <v>45592</v>
      </c>
      <c r="F758">
        <v>670.41</v>
      </c>
      <c r="G758">
        <v>1340.82</v>
      </c>
    </row>
    <row r="759" spans="1:7" x14ac:dyDescent="0.25">
      <c r="A759">
        <v>758</v>
      </c>
      <c r="B759">
        <v>967</v>
      </c>
      <c r="C759">
        <v>80</v>
      </c>
      <c r="D759" s="2">
        <v>45580</v>
      </c>
      <c r="F759">
        <v>985.44</v>
      </c>
      <c r="G759">
        <v>3941.76</v>
      </c>
    </row>
    <row r="760" spans="1:7" x14ac:dyDescent="0.25">
      <c r="A760">
        <v>759</v>
      </c>
      <c r="B760">
        <v>966</v>
      </c>
      <c r="C760">
        <v>54</v>
      </c>
      <c r="D760" s="2">
        <v>45722</v>
      </c>
      <c r="F760">
        <v>890.09</v>
      </c>
      <c r="G760">
        <v>1780.18</v>
      </c>
    </row>
    <row r="761" spans="1:7" x14ac:dyDescent="0.25">
      <c r="A761">
        <v>760</v>
      </c>
      <c r="B761">
        <v>989</v>
      </c>
      <c r="C761">
        <v>24</v>
      </c>
      <c r="D761" s="2">
        <v>45608</v>
      </c>
      <c r="F761">
        <v>981.48</v>
      </c>
      <c r="G761">
        <v>3925.92</v>
      </c>
    </row>
    <row r="762" spans="1:7" x14ac:dyDescent="0.25">
      <c r="A762">
        <v>761</v>
      </c>
      <c r="B762">
        <v>886</v>
      </c>
      <c r="C762">
        <v>67</v>
      </c>
      <c r="D762" s="2">
        <v>45766</v>
      </c>
      <c r="F762">
        <v>894.26</v>
      </c>
      <c r="G762">
        <v>894.26</v>
      </c>
    </row>
    <row r="763" spans="1:7" x14ac:dyDescent="0.25">
      <c r="A763">
        <v>762</v>
      </c>
      <c r="B763">
        <v>977</v>
      </c>
      <c r="C763">
        <v>10</v>
      </c>
      <c r="D763" s="2">
        <v>45621</v>
      </c>
      <c r="F763">
        <v>704.68</v>
      </c>
      <c r="G763">
        <v>3523.4</v>
      </c>
    </row>
    <row r="764" spans="1:7" x14ac:dyDescent="0.25">
      <c r="A764">
        <v>763</v>
      </c>
      <c r="B764">
        <v>963</v>
      </c>
      <c r="C764">
        <v>9</v>
      </c>
      <c r="D764" s="2">
        <v>45433</v>
      </c>
      <c r="F764">
        <v>333.83</v>
      </c>
      <c r="G764">
        <v>667.66</v>
      </c>
    </row>
    <row r="765" spans="1:7" x14ac:dyDescent="0.25">
      <c r="A765">
        <v>764</v>
      </c>
      <c r="B765">
        <v>882</v>
      </c>
      <c r="C765">
        <v>7</v>
      </c>
      <c r="D765" s="2">
        <v>45457</v>
      </c>
      <c r="F765">
        <v>956.28</v>
      </c>
      <c r="G765">
        <v>1912.56</v>
      </c>
    </row>
    <row r="766" spans="1:7" x14ac:dyDescent="0.25">
      <c r="A766">
        <v>765</v>
      </c>
      <c r="B766">
        <v>939</v>
      </c>
      <c r="C766">
        <v>27</v>
      </c>
      <c r="D766" s="2">
        <v>45719</v>
      </c>
      <c r="F766">
        <v>361.56</v>
      </c>
      <c r="G766">
        <v>1807.8</v>
      </c>
    </row>
    <row r="767" spans="1:7" x14ac:dyDescent="0.25">
      <c r="A767">
        <v>766</v>
      </c>
      <c r="B767">
        <v>958</v>
      </c>
      <c r="C767">
        <v>7</v>
      </c>
      <c r="D767" s="2">
        <v>45756</v>
      </c>
      <c r="F767">
        <v>948.95</v>
      </c>
      <c r="G767">
        <v>2846.85</v>
      </c>
    </row>
    <row r="768" spans="1:7" x14ac:dyDescent="0.25">
      <c r="A768">
        <v>767</v>
      </c>
      <c r="B768">
        <v>854</v>
      </c>
      <c r="C768">
        <v>98</v>
      </c>
      <c r="D768" s="2">
        <v>45522</v>
      </c>
      <c r="F768">
        <v>825.84</v>
      </c>
      <c r="G768">
        <v>2477.52</v>
      </c>
    </row>
    <row r="769" spans="1:7" x14ac:dyDescent="0.25">
      <c r="A769">
        <v>768</v>
      </c>
      <c r="B769">
        <v>873</v>
      </c>
      <c r="C769">
        <v>51</v>
      </c>
      <c r="D769" s="2">
        <v>45748</v>
      </c>
      <c r="F769">
        <v>574.49</v>
      </c>
      <c r="G769">
        <v>2297.96</v>
      </c>
    </row>
    <row r="770" spans="1:7" x14ac:dyDescent="0.25">
      <c r="A770">
        <v>769</v>
      </c>
      <c r="B770">
        <v>985</v>
      </c>
      <c r="C770">
        <v>67</v>
      </c>
      <c r="D770" s="2">
        <v>45586</v>
      </c>
      <c r="F770">
        <v>134.74</v>
      </c>
      <c r="G770">
        <v>538.96</v>
      </c>
    </row>
    <row r="771" spans="1:7" x14ac:dyDescent="0.25">
      <c r="A771">
        <v>770</v>
      </c>
      <c r="B771">
        <v>769</v>
      </c>
      <c r="C771">
        <v>84</v>
      </c>
      <c r="D771" s="2">
        <v>45627</v>
      </c>
      <c r="F771">
        <v>768.03</v>
      </c>
      <c r="G771">
        <v>1536.06</v>
      </c>
    </row>
    <row r="772" spans="1:7" x14ac:dyDescent="0.25">
      <c r="A772">
        <v>771</v>
      </c>
      <c r="B772">
        <v>964</v>
      </c>
      <c r="C772">
        <v>69</v>
      </c>
      <c r="D772" s="2">
        <v>45715</v>
      </c>
      <c r="F772">
        <v>434.59</v>
      </c>
      <c r="G772">
        <v>1738.36</v>
      </c>
    </row>
    <row r="773" spans="1:7" x14ac:dyDescent="0.25">
      <c r="A773">
        <v>772</v>
      </c>
      <c r="B773">
        <v>987</v>
      </c>
      <c r="C773">
        <v>93</v>
      </c>
      <c r="D773" s="2">
        <v>45557</v>
      </c>
      <c r="F773">
        <v>484.57</v>
      </c>
      <c r="G773">
        <v>1938.28</v>
      </c>
    </row>
    <row r="774" spans="1:7" x14ac:dyDescent="0.25">
      <c r="A774">
        <v>773</v>
      </c>
      <c r="B774">
        <v>990</v>
      </c>
      <c r="C774">
        <v>54</v>
      </c>
      <c r="D774" s="2">
        <v>45473</v>
      </c>
      <c r="F774">
        <v>517.1</v>
      </c>
      <c r="G774">
        <v>2068.4</v>
      </c>
    </row>
    <row r="775" spans="1:7" x14ac:dyDescent="0.25">
      <c r="A775">
        <v>774</v>
      </c>
      <c r="B775">
        <v>867</v>
      </c>
      <c r="C775">
        <v>89</v>
      </c>
      <c r="D775" s="2">
        <v>45619</v>
      </c>
      <c r="F775">
        <v>596</v>
      </c>
      <c r="G775">
        <v>596</v>
      </c>
    </row>
    <row r="776" spans="1:7" x14ac:dyDescent="0.25">
      <c r="A776">
        <v>775</v>
      </c>
      <c r="B776">
        <v>991</v>
      </c>
      <c r="C776">
        <v>15</v>
      </c>
      <c r="D776" s="2">
        <v>45511</v>
      </c>
      <c r="F776">
        <v>93.49</v>
      </c>
      <c r="G776">
        <v>280.47000000000003</v>
      </c>
    </row>
    <row r="777" spans="1:7" x14ac:dyDescent="0.25">
      <c r="A777">
        <v>776</v>
      </c>
      <c r="B777">
        <v>996</v>
      </c>
      <c r="C777">
        <v>99</v>
      </c>
      <c r="D777" s="2">
        <v>45529</v>
      </c>
      <c r="F777">
        <v>745.12</v>
      </c>
      <c r="G777">
        <v>745.12</v>
      </c>
    </row>
    <row r="778" spans="1:7" x14ac:dyDescent="0.25">
      <c r="A778">
        <v>777</v>
      </c>
      <c r="B778">
        <v>998</v>
      </c>
      <c r="C778">
        <v>79</v>
      </c>
      <c r="D778" s="2">
        <v>45723</v>
      </c>
      <c r="F778">
        <v>246.96</v>
      </c>
      <c r="G778">
        <v>246.96</v>
      </c>
    </row>
    <row r="779" spans="1:7" x14ac:dyDescent="0.25">
      <c r="A779">
        <v>778</v>
      </c>
      <c r="B779">
        <v>970</v>
      </c>
      <c r="C779">
        <v>15</v>
      </c>
      <c r="D779" s="2">
        <v>45517</v>
      </c>
      <c r="F779">
        <v>802.45</v>
      </c>
      <c r="G779">
        <v>2407.35</v>
      </c>
    </row>
    <row r="780" spans="1:7" x14ac:dyDescent="0.25">
      <c r="A780">
        <v>779</v>
      </c>
      <c r="B780">
        <v>940</v>
      </c>
      <c r="C780">
        <v>69</v>
      </c>
      <c r="D780" s="2">
        <v>45569</v>
      </c>
      <c r="F780">
        <v>409.71</v>
      </c>
      <c r="G780">
        <v>2048.5500000000002</v>
      </c>
    </row>
    <row r="781" spans="1:7" x14ac:dyDescent="0.25">
      <c r="A781">
        <v>780</v>
      </c>
      <c r="B781">
        <v>956</v>
      </c>
      <c r="C781">
        <v>58</v>
      </c>
      <c r="D781" s="2">
        <v>45450</v>
      </c>
      <c r="F781">
        <v>223.14</v>
      </c>
      <c r="G781">
        <v>446.28</v>
      </c>
    </row>
    <row r="782" spans="1:7" x14ac:dyDescent="0.25">
      <c r="A782">
        <v>781</v>
      </c>
      <c r="B782">
        <v>997</v>
      </c>
      <c r="C782">
        <v>11</v>
      </c>
      <c r="D782" s="2">
        <v>45487</v>
      </c>
      <c r="F782">
        <v>916.98</v>
      </c>
      <c r="G782">
        <v>4584.8999999999996</v>
      </c>
    </row>
    <row r="783" spans="1:7" x14ac:dyDescent="0.25">
      <c r="A783">
        <v>782</v>
      </c>
      <c r="B783">
        <v>979</v>
      </c>
      <c r="C783">
        <v>94</v>
      </c>
      <c r="D783" s="2">
        <v>45562</v>
      </c>
      <c r="F783">
        <v>481.77</v>
      </c>
      <c r="G783">
        <v>2408.85</v>
      </c>
    </row>
    <row r="784" spans="1:7" x14ac:dyDescent="0.25">
      <c r="A784">
        <v>783</v>
      </c>
      <c r="B784">
        <v>924</v>
      </c>
      <c r="C784">
        <v>20</v>
      </c>
      <c r="D784" s="2">
        <v>45732</v>
      </c>
      <c r="F784">
        <v>680.75</v>
      </c>
      <c r="G784">
        <v>680.75</v>
      </c>
    </row>
    <row r="785" spans="1:7" x14ac:dyDescent="0.25">
      <c r="A785">
        <v>784</v>
      </c>
      <c r="B785">
        <v>987</v>
      </c>
      <c r="C785">
        <v>12</v>
      </c>
      <c r="D785" s="2">
        <v>45613</v>
      </c>
      <c r="F785">
        <v>356.84</v>
      </c>
      <c r="G785">
        <v>1784.2</v>
      </c>
    </row>
    <row r="786" spans="1:7" x14ac:dyDescent="0.25">
      <c r="A786">
        <v>785</v>
      </c>
      <c r="B786">
        <v>784</v>
      </c>
      <c r="C786">
        <v>33</v>
      </c>
      <c r="D786" s="2">
        <v>45720</v>
      </c>
      <c r="F786">
        <v>420.38</v>
      </c>
      <c r="G786">
        <v>2101.9</v>
      </c>
    </row>
    <row r="787" spans="1:7" x14ac:dyDescent="0.25">
      <c r="A787">
        <v>786</v>
      </c>
      <c r="B787">
        <v>943</v>
      </c>
      <c r="C787">
        <v>74</v>
      </c>
      <c r="D787" s="2">
        <v>45444</v>
      </c>
      <c r="F787">
        <v>716.9</v>
      </c>
      <c r="G787">
        <v>2867.6</v>
      </c>
    </row>
    <row r="788" spans="1:7" x14ac:dyDescent="0.25">
      <c r="A788">
        <v>787</v>
      </c>
      <c r="B788">
        <v>786</v>
      </c>
      <c r="C788">
        <v>63</v>
      </c>
      <c r="D788" s="2">
        <v>45707</v>
      </c>
      <c r="F788">
        <v>424.68</v>
      </c>
      <c r="G788">
        <v>424.68</v>
      </c>
    </row>
    <row r="789" spans="1:7" x14ac:dyDescent="0.25">
      <c r="A789">
        <v>788</v>
      </c>
      <c r="B789">
        <v>909</v>
      </c>
      <c r="C789">
        <v>82</v>
      </c>
      <c r="D789" s="2">
        <v>45492</v>
      </c>
      <c r="F789">
        <v>255.31</v>
      </c>
      <c r="G789">
        <v>1021.24</v>
      </c>
    </row>
    <row r="790" spans="1:7" x14ac:dyDescent="0.25">
      <c r="A790">
        <v>789</v>
      </c>
      <c r="B790">
        <v>956</v>
      </c>
      <c r="C790">
        <v>73</v>
      </c>
      <c r="D790" s="2">
        <v>45760</v>
      </c>
      <c r="F790">
        <v>562.94000000000005</v>
      </c>
      <c r="G790">
        <v>1125.8800000000001</v>
      </c>
    </row>
    <row r="791" spans="1:7" x14ac:dyDescent="0.25">
      <c r="A791">
        <v>790</v>
      </c>
      <c r="B791">
        <v>793</v>
      </c>
      <c r="C791">
        <v>98</v>
      </c>
      <c r="D791" s="2">
        <v>45678</v>
      </c>
      <c r="F791">
        <v>840.85</v>
      </c>
      <c r="G791">
        <v>1681.7</v>
      </c>
    </row>
    <row r="792" spans="1:7" x14ac:dyDescent="0.25">
      <c r="A792">
        <v>791</v>
      </c>
      <c r="B792">
        <v>972</v>
      </c>
      <c r="C792">
        <v>51</v>
      </c>
      <c r="D792" s="2">
        <v>45526</v>
      </c>
      <c r="F792">
        <v>482.6</v>
      </c>
      <c r="G792">
        <v>1447.8</v>
      </c>
    </row>
    <row r="793" spans="1:7" x14ac:dyDescent="0.25">
      <c r="A793">
        <v>792</v>
      </c>
      <c r="B793">
        <v>952</v>
      </c>
      <c r="C793">
        <v>81</v>
      </c>
      <c r="D793" s="2">
        <v>45746</v>
      </c>
      <c r="F793">
        <v>733.88</v>
      </c>
      <c r="G793">
        <v>3669.4</v>
      </c>
    </row>
    <row r="794" spans="1:7" x14ac:dyDescent="0.25">
      <c r="A794">
        <v>793</v>
      </c>
      <c r="B794">
        <v>990</v>
      </c>
      <c r="C794">
        <v>12</v>
      </c>
      <c r="D794" s="2">
        <v>45645</v>
      </c>
      <c r="F794">
        <v>370.86</v>
      </c>
      <c r="G794">
        <v>1854.3</v>
      </c>
    </row>
    <row r="795" spans="1:7" x14ac:dyDescent="0.25">
      <c r="A795">
        <v>794</v>
      </c>
      <c r="B795">
        <v>793</v>
      </c>
      <c r="C795">
        <v>39</v>
      </c>
      <c r="D795" s="2">
        <v>45778</v>
      </c>
      <c r="F795">
        <v>708.87</v>
      </c>
      <c r="G795">
        <v>2835.48</v>
      </c>
    </row>
    <row r="796" spans="1:7" x14ac:dyDescent="0.25">
      <c r="A796">
        <v>795</v>
      </c>
      <c r="B796">
        <v>961</v>
      </c>
      <c r="C796">
        <v>17</v>
      </c>
      <c r="D796" s="2">
        <v>45560</v>
      </c>
      <c r="F796">
        <v>286.81</v>
      </c>
      <c r="G796">
        <v>1434.05</v>
      </c>
    </row>
    <row r="797" spans="1:7" x14ac:dyDescent="0.25">
      <c r="A797">
        <v>796</v>
      </c>
      <c r="B797">
        <v>854</v>
      </c>
      <c r="C797">
        <v>42</v>
      </c>
      <c r="D797" s="2">
        <v>45652</v>
      </c>
      <c r="F797">
        <v>707.3</v>
      </c>
      <c r="G797">
        <v>707.3</v>
      </c>
    </row>
    <row r="798" spans="1:7" x14ac:dyDescent="0.25">
      <c r="A798">
        <v>797</v>
      </c>
      <c r="B798">
        <v>908</v>
      </c>
      <c r="C798">
        <v>5</v>
      </c>
      <c r="D798" s="2">
        <v>45776</v>
      </c>
      <c r="F798">
        <v>441.03</v>
      </c>
      <c r="G798">
        <v>441.03</v>
      </c>
    </row>
    <row r="799" spans="1:7" x14ac:dyDescent="0.25">
      <c r="A799">
        <v>798</v>
      </c>
      <c r="B799">
        <v>949</v>
      </c>
      <c r="C799">
        <v>51</v>
      </c>
      <c r="D799" s="2">
        <v>45610</v>
      </c>
      <c r="F799">
        <v>425.83</v>
      </c>
      <c r="G799">
        <v>2129.15</v>
      </c>
    </row>
    <row r="800" spans="1:7" x14ac:dyDescent="0.25">
      <c r="A800">
        <v>799</v>
      </c>
      <c r="B800">
        <v>798</v>
      </c>
      <c r="C800">
        <v>78</v>
      </c>
      <c r="D800" s="2">
        <v>45535</v>
      </c>
      <c r="F800">
        <v>230.65</v>
      </c>
      <c r="G800">
        <v>461.3</v>
      </c>
    </row>
    <row r="801" spans="1:7" x14ac:dyDescent="0.25">
      <c r="A801">
        <v>800</v>
      </c>
      <c r="B801">
        <v>913</v>
      </c>
      <c r="C801">
        <v>9</v>
      </c>
      <c r="D801" s="2">
        <v>45714</v>
      </c>
      <c r="F801">
        <v>135.04</v>
      </c>
      <c r="G801">
        <v>135.04</v>
      </c>
    </row>
    <row r="802" spans="1:7" x14ac:dyDescent="0.25">
      <c r="A802">
        <v>801</v>
      </c>
      <c r="B802">
        <v>984</v>
      </c>
      <c r="C802">
        <v>63</v>
      </c>
      <c r="D802" s="2">
        <v>45642</v>
      </c>
      <c r="F802">
        <v>150.74</v>
      </c>
      <c r="G802">
        <v>602.96</v>
      </c>
    </row>
    <row r="803" spans="1:7" x14ac:dyDescent="0.25">
      <c r="A803">
        <v>802</v>
      </c>
      <c r="B803">
        <v>968</v>
      </c>
      <c r="C803">
        <v>8</v>
      </c>
      <c r="D803" s="2">
        <v>45624</v>
      </c>
      <c r="F803">
        <v>452.32</v>
      </c>
      <c r="G803">
        <v>1356.96</v>
      </c>
    </row>
    <row r="804" spans="1:7" x14ac:dyDescent="0.25">
      <c r="A804">
        <v>803</v>
      </c>
      <c r="B804">
        <v>966</v>
      </c>
      <c r="C804">
        <v>43</v>
      </c>
      <c r="D804" s="2">
        <v>45726</v>
      </c>
      <c r="F804">
        <v>520.04999999999995</v>
      </c>
      <c r="G804">
        <v>2600.25</v>
      </c>
    </row>
    <row r="805" spans="1:7" x14ac:dyDescent="0.25">
      <c r="A805">
        <v>804</v>
      </c>
      <c r="B805">
        <v>939</v>
      </c>
      <c r="C805">
        <v>47</v>
      </c>
      <c r="D805" s="2">
        <v>45695</v>
      </c>
      <c r="F805">
        <v>366.56</v>
      </c>
      <c r="G805">
        <v>1099.68</v>
      </c>
    </row>
    <row r="806" spans="1:7" x14ac:dyDescent="0.25">
      <c r="A806">
        <v>805</v>
      </c>
      <c r="B806">
        <v>977</v>
      </c>
      <c r="C806">
        <v>54</v>
      </c>
      <c r="D806" s="2">
        <v>45696</v>
      </c>
      <c r="F806">
        <v>405.13</v>
      </c>
      <c r="G806">
        <v>810.26</v>
      </c>
    </row>
    <row r="807" spans="1:7" x14ac:dyDescent="0.25">
      <c r="A807">
        <v>806</v>
      </c>
      <c r="B807">
        <v>959</v>
      </c>
      <c r="C807">
        <v>4</v>
      </c>
      <c r="D807" s="2">
        <v>45757</v>
      </c>
      <c r="F807">
        <v>941.71</v>
      </c>
      <c r="G807">
        <v>941.71</v>
      </c>
    </row>
    <row r="808" spans="1:7" x14ac:dyDescent="0.25">
      <c r="A808">
        <v>807</v>
      </c>
      <c r="B808">
        <v>901</v>
      </c>
      <c r="C808">
        <v>36</v>
      </c>
      <c r="D808" s="2">
        <v>45591</v>
      </c>
      <c r="F808">
        <v>670.12</v>
      </c>
      <c r="G808">
        <v>2680.48</v>
      </c>
    </row>
    <row r="809" spans="1:7" x14ac:dyDescent="0.25">
      <c r="A809">
        <v>808</v>
      </c>
      <c r="B809">
        <v>998</v>
      </c>
      <c r="C809">
        <v>71</v>
      </c>
      <c r="D809" s="2">
        <v>45610</v>
      </c>
      <c r="F809">
        <v>732.4</v>
      </c>
      <c r="G809">
        <v>3662</v>
      </c>
    </row>
    <row r="810" spans="1:7" x14ac:dyDescent="0.25">
      <c r="A810">
        <v>809</v>
      </c>
      <c r="B810">
        <v>926</v>
      </c>
      <c r="C810">
        <v>76</v>
      </c>
      <c r="D810" s="2">
        <v>45661</v>
      </c>
      <c r="F810">
        <v>245.16</v>
      </c>
      <c r="G810">
        <v>490.32</v>
      </c>
    </row>
    <row r="811" spans="1:7" x14ac:dyDescent="0.25">
      <c r="A811">
        <v>810</v>
      </c>
      <c r="B811">
        <v>970</v>
      </c>
      <c r="C811">
        <v>86</v>
      </c>
      <c r="D811" s="2">
        <v>45633</v>
      </c>
      <c r="F811">
        <v>221.83</v>
      </c>
      <c r="G811">
        <v>1109.1500000000001</v>
      </c>
    </row>
    <row r="812" spans="1:7" x14ac:dyDescent="0.25">
      <c r="A812">
        <v>811</v>
      </c>
      <c r="B812">
        <v>995</v>
      </c>
      <c r="C812">
        <v>23</v>
      </c>
      <c r="D812" s="2">
        <v>45598</v>
      </c>
      <c r="F812">
        <v>241.32</v>
      </c>
      <c r="G812">
        <v>965.28</v>
      </c>
    </row>
    <row r="813" spans="1:7" x14ac:dyDescent="0.25">
      <c r="A813">
        <v>812</v>
      </c>
      <c r="B813">
        <v>811</v>
      </c>
      <c r="C813">
        <v>14</v>
      </c>
      <c r="D813" s="2">
        <v>45732</v>
      </c>
      <c r="F813">
        <v>352.39</v>
      </c>
      <c r="G813">
        <v>1057.17</v>
      </c>
    </row>
    <row r="814" spans="1:7" x14ac:dyDescent="0.25">
      <c r="A814">
        <v>813</v>
      </c>
      <c r="B814">
        <v>812</v>
      </c>
      <c r="C814">
        <v>34</v>
      </c>
      <c r="D814" s="2">
        <v>45691</v>
      </c>
      <c r="F814">
        <v>921.64</v>
      </c>
      <c r="G814">
        <v>3686.56</v>
      </c>
    </row>
    <row r="815" spans="1:7" x14ac:dyDescent="0.25">
      <c r="A815">
        <v>814</v>
      </c>
      <c r="B815">
        <v>837</v>
      </c>
      <c r="C815">
        <v>56</v>
      </c>
      <c r="D815" s="2">
        <v>45750</v>
      </c>
      <c r="F815">
        <v>131.54</v>
      </c>
      <c r="G815">
        <v>657.7</v>
      </c>
    </row>
    <row r="816" spans="1:7" x14ac:dyDescent="0.25">
      <c r="A816">
        <v>815</v>
      </c>
      <c r="B816">
        <v>957</v>
      </c>
      <c r="C816">
        <v>97</v>
      </c>
      <c r="D816" s="2">
        <v>45482</v>
      </c>
      <c r="F816">
        <v>143.16</v>
      </c>
      <c r="G816">
        <v>572.64</v>
      </c>
    </row>
    <row r="817" spans="1:7" x14ac:dyDescent="0.25">
      <c r="A817">
        <v>816</v>
      </c>
      <c r="B817">
        <v>922</v>
      </c>
      <c r="C817">
        <v>54</v>
      </c>
      <c r="D817" s="2">
        <v>45588</v>
      </c>
      <c r="F817">
        <v>729.63</v>
      </c>
      <c r="G817">
        <v>729.63</v>
      </c>
    </row>
    <row r="818" spans="1:7" x14ac:dyDescent="0.25">
      <c r="A818">
        <v>817</v>
      </c>
      <c r="B818">
        <v>980</v>
      </c>
      <c r="C818">
        <v>87</v>
      </c>
      <c r="D818" s="2">
        <v>45654</v>
      </c>
      <c r="F818">
        <v>854.8</v>
      </c>
      <c r="G818">
        <v>4274</v>
      </c>
    </row>
    <row r="819" spans="1:7" x14ac:dyDescent="0.25">
      <c r="A819">
        <v>818</v>
      </c>
      <c r="B819">
        <v>991</v>
      </c>
      <c r="C819">
        <v>64</v>
      </c>
      <c r="D819" s="2">
        <v>45429</v>
      </c>
      <c r="F819">
        <v>754.17</v>
      </c>
      <c r="G819">
        <v>1508.34</v>
      </c>
    </row>
    <row r="820" spans="1:7" x14ac:dyDescent="0.25">
      <c r="A820">
        <v>819</v>
      </c>
      <c r="B820">
        <v>867</v>
      </c>
      <c r="C820">
        <v>8</v>
      </c>
      <c r="D820" s="2">
        <v>45659</v>
      </c>
      <c r="F820">
        <v>325.12</v>
      </c>
      <c r="G820">
        <v>1300.48</v>
      </c>
    </row>
    <row r="821" spans="1:7" x14ac:dyDescent="0.25">
      <c r="A821">
        <v>820</v>
      </c>
      <c r="B821">
        <v>956</v>
      </c>
      <c r="C821">
        <v>84</v>
      </c>
      <c r="D821" s="2">
        <v>45680</v>
      </c>
      <c r="F821">
        <v>50.25</v>
      </c>
      <c r="G821">
        <v>201</v>
      </c>
    </row>
    <row r="822" spans="1:7" x14ac:dyDescent="0.25">
      <c r="A822">
        <v>821</v>
      </c>
      <c r="B822">
        <v>938</v>
      </c>
      <c r="C822">
        <v>77</v>
      </c>
      <c r="D822" s="2">
        <v>45649</v>
      </c>
      <c r="F822">
        <v>487.96</v>
      </c>
      <c r="G822">
        <v>487.96</v>
      </c>
    </row>
    <row r="823" spans="1:7" x14ac:dyDescent="0.25">
      <c r="A823">
        <v>822</v>
      </c>
      <c r="B823">
        <v>821</v>
      </c>
      <c r="C823">
        <v>28</v>
      </c>
      <c r="D823" s="2">
        <v>45668</v>
      </c>
      <c r="F823">
        <v>812.26</v>
      </c>
      <c r="G823">
        <v>4061.3</v>
      </c>
    </row>
    <row r="824" spans="1:7" x14ac:dyDescent="0.25">
      <c r="A824">
        <v>823</v>
      </c>
      <c r="B824">
        <v>908</v>
      </c>
      <c r="C824">
        <v>33</v>
      </c>
      <c r="D824" s="2">
        <v>45544</v>
      </c>
      <c r="F824">
        <v>696.7</v>
      </c>
      <c r="G824">
        <v>2090.1</v>
      </c>
    </row>
    <row r="825" spans="1:7" x14ac:dyDescent="0.25">
      <c r="A825">
        <v>824</v>
      </c>
      <c r="B825">
        <v>949</v>
      </c>
      <c r="C825">
        <v>4</v>
      </c>
      <c r="D825" s="2">
        <v>45749</v>
      </c>
      <c r="F825">
        <v>404.35</v>
      </c>
      <c r="G825">
        <v>1617.4</v>
      </c>
    </row>
    <row r="826" spans="1:7" x14ac:dyDescent="0.25">
      <c r="A826">
        <v>825</v>
      </c>
      <c r="B826">
        <v>978</v>
      </c>
      <c r="C826">
        <v>23</v>
      </c>
      <c r="D826" s="2">
        <v>45588</v>
      </c>
      <c r="F826">
        <v>565.17999999999995</v>
      </c>
      <c r="G826">
        <v>2260.7199999999998</v>
      </c>
    </row>
    <row r="827" spans="1:7" x14ac:dyDescent="0.25">
      <c r="A827">
        <v>826</v>
      </c>
      <c r="B827">
        <v>992</v>
      </c>
      <c r="C827">
        <v>14</v>
      </c>
      <c r="D827" s="2">
        <v>45519</v>
      </c>
      <c r="F827">
        <v>804.26</v>
      </c>
      <c r="G827">
        <v>2412.7800000000002</v>
      </c>
    </row>
    <row r="828" spans="1:7" x14ac:dyDescent="0.25">
      <c r="A828">
        <v>827</v>
      </c>
      <c r="B828">
        <v>964</v>
      </c>
      <c r="C828">
        <v>64</v>
      </c>
      <c r="D828" s="2">
        <v>45790</v>
      </c>
      <c r="F828">
        <v>162.24</v>
      </c>
      <c r="G828">
        <v>324.48</v>
      </c>
    </row>
    <row r="829" spans="1:7" x14ac:dyDescent="0.25">
      <c r="A829">
        <v>828</v>
      </c>
      <c r="B829">
        <v>873</v>
      </c>
      <c r="C829">
        <v>26</v>
      </c>
      <c r="D829" s="2">
        <v>45460</v>
      </c>
      <c r="F829">
        <v>407.55</v>
      </c>
      <c r="G829">
        <v>1630.2</v>
      </c>
    </row>
    <row r="830" spans="1:7" x14ac:dyDescent="0.25">
      <c r="A830">
        <v>829</v>
      </c>
      <c r="B830">
        <v>992</v>
      </c>
      <c r="C830">
        <v>83</v>
      </c>
      <c r="D830" s="2">
        <v>45613</v>
      </c>
      <c r="F830">
        <v>165.7</v>
      </c>
      <c r="G830">
        <v>828.5</v>
      </c>
    </row>
    <row r="831" spans="1:7" x14ac:dyDescent="0.25">
      <c r="A831">
        <v>830</v>
      </c>
      <c r="B831">
        <v>854</v>
      </c>
      <c r="C831">
        <v>4</v>
      </c>
      <c r="D831" s="2">
        <v>45530</v>
      </c>
      <c r="F831">
        <v>585.73</v>
      </c>
      <c r="G831">
        <v>1757.19</v>
      </c>
    </row>
    <row r="832" spans="1:7" x14ac:dyDescent="0.25">
      <c r="A832">
        <v>831</v>
      </c>
      <c r="B832">
        <v>941</v>
      </c>
      <c r="C832">
        <v>40</v>
      </c>
      <c r="D832" s="2">
        <v>45643</v>
      </c>
      <c r="F832">
        <v>29.58</v>
      </c>
      <c r="G832">
        <v>118.32</v>
      </c>
    </row>
    <row r="833" spans="1:7" x14ac:dyDescent="0.25">
      <c r="A833">
        <v>832</v>
      </c>
      <c r="B833">
        <v>924</v>
      </c>
      <c r="C833">
        <v>70</v>
      </c>
      <c r="D833" s="2">
        <v>45513</v>
      </c>
      <c r="F833">
        <v>592.33000000000004</v>
      </c>
      <c r="G833">
        <v>1184.6600000000001</v>
      </c>
    </row>
    <row r="834" spans="1:7" x14ac:dyDescent="0.25">
      <c r="A834">
        <v>833</v>
      </c>
      <c r="B834">
        <v>957</v>
      </c>
      <c r="C834">
        <v>36</v>
      </c>
      <c r="D834" s="2">
        <v>45786</v>
      </c>
      <c r="F834">
        <v>318.89</v>
      </c>
      <c r="G834">
        <v>637.78</v>
      </c>
    </row>
    <row r="835" spans="1:7" x14ac:dyDescent="0.25">
      <c r="A835">
        <v>834</v>
      </c>
      <c r="B835">
        <v>995</v>
      </c>
      <c r="C835">
        <v>69</v>
      </c>
      <c r="D835" s="2">
        <v>45621</v>
      </c>
      <c r="F835">
        <v>131.01</v>
      </c>
      <c r="G835">
        <v>393.03</v>
      </c>
    </row>
    <row r="836" spans="1:7" x14ac:dyDescent="0.25">
      <c r="A836">
        <v>835</v>
      </c>
      <c r="B836">
        <v>989</v>
      </c>
      <c r="C836">
        <v>57</v>
      </c>
      <c r="D836" s="2">
        <v>45716</v>
      </c>
      <c r="F836">
        <v>797.1</v>
      </c>
      <c r="G836">
        <v>3188.4</v>
      </c>
    </row>
    <row r="837" spans="1:7" x14ac:dyDescent="0.25">
      <c r="A837">
        <v>836</v>
      </c>
      <c r="B837">
        <v>974</v>
      </c>
      <c r="C837">
        <v>11</v>
      </c>
      <c r="D837" s="2">
        <v>45705</v>
      </c>
      <c r="F837">
        <v>591.03</v>
      </c>
      <c r="G837">
        <v>1773.09</v>
      </c>
    </row>
    <row r="838" spans="1:7" x14ac:dyDescent="0.25">
      <c r="A838">
        <v>837</v>
      </c>
      <c r="B838">
        <v>943</v>
      </c>
      <c r="C838">
        <v>78</v>
      </c>
      <c r="D838" s="2">
        <v>45460</v>
      </c>
      <c r="F838">
        <v>309.25</v>
      </c>
      <c r="G838">
        <v>309.25</v>
      </c>
    </row>
    <row r="839" spans="1:7" x14ac:dyDescent="0.25">
      <c r="A839">
        <v>838</v>
      </c>
      <c r="B839">
        <v>837</v>
      </c>
      <c r="C839">
        <v>1</v>
      </c>
      <c r="D839" s="2">
        <v>45457</v>
      </c>
      <c r="F839">
        <v>583</v>
      </c>
      <c r="G839">
        <v>583</v>
      </c>
    </row>
    <row r="840" spans="1:7" x14ac:dyDescent="0.25">
      <c r="A840">
        <v>839</v>
      </c>
      <c r="B840">
        <v>893</v>
      </c>
      <c r="C840">
        <v>1</v>
      </c>
      <c r="D840" s="2">
        <v>45753</v>
      </c>
      <c r="F840">
        <v>697.53</v>
      </c>
      <c r="G840">
        <v>3487.65</v>
      </c>
    </row>
    <row r="841" spans="1:7" x14ac:dyDescent="0.25">
      <c r="A841">
        <v>840</v>
      </c>
      <c r="B841">
        <v>985</v>
      </c>
      <c r="C841">
        <v>93</v>
      </c>
      <c r="D841" s="2">
        <v>45599</v>
      </c>
      <c r="F841">
        <v>206.74</v>
      </c>
      <c r="G841">
        <v>413.48</v>
      </c>
    </row>
    <row r="842" spans="1:7" x14ac:dyDescent="0.25">
      <c r="A842">
        <v>841</v>
      </c>
      <c r="B842">
        <v>934</v>
      </c>
      <c r="C842">
        <v>69</v>
      </c>
      <c r="D842" s="2">
        <v>45523</v>
      </c>
      <c r="F842">
        <v>381.78</v>
      </c>
      <c r="G842">
        <v>381.78</v>
      </c>
    </row>
    <row r="843" spans="1:7" x14ac:dyDescent="0.25">
      <c r="A843">
        <v>842</v>
      </c>
      <c r="B843">
        <v>841</v>
      </c>
      <c r="C843">
        <v>11</v>
      </c>
      <c r="D843" s="2">
        <v>45461</v>
      </c>
      <c r="F843">
        <v>322.64999999999998</v>
      </c>
      <c r="G843">
        <v>1290.5999999999999</v>
      </c>
    </row>
    <row r="844" spans="1:7" x14ac:dyDescent="0.25">
      <c r="A844">
        <v>843</v>
      </c>
      <c r="B844">
        <v>969</v>
      </c>
      <c r="C844">
        <v>28</v>
      </c>
      <c r="D844" s="2">
        <v>45531</v>
      </c>
      <c r="F844">
        <v>582.45000000000005</v>
      </c>
      <c r="G844">
        <v>1164.9000000000001</v>
      </c>
    </row>
    <row r="845" spans="1:7" x14ac:dyDescent="0.25">
      <c r="A845">
        <v>844</v>
      </c>
      <c r="B845">
        <v>933</v>
      </c>
      <c r="C845">
        <v>92</v>
      </c>
      <c r="D845" s="2">
        <v>45744</v>
      </c>
      <c r="F845">
        <v>625.94000000000005</v>
      </c>
      <c r="G845">
        <v>3129.7</v>
      </c>
    </row>
    <row r="846" spans="1:7" x14ac:dyDescent="0.25">
      <c r="A846">
        <v>845</v>
      </c>
      <c r="B846">
        <v>984</v>
      </c>
      <c r="C846">
        <v>76</v>
      </c>
      <c r="D846" s="2">
        <v>45681</v>
      </c>
      <c r="F846">
        <v>956.26</v>
      </c>
      <c r="G846">
        <v>4781.3</v>
      </c>
    </row>
    <row r="847" spans="1:7" x14ac:dyDescent="0.25">
      <c r="A847">
        <v>846</v>
      </c>
      <c r="B847">
        <v>978</v>
      </c>
      <c r="C847">
        <v>73</v>
      </c>
      <c r="D847" s="2">
        <v>45487</v>
      </c>
      <c r="F847">
        <v>442.83</v>
      </c>
      <c r="G847">
        <v>2214.15</v>
      </c>
    </row>
    <row r="848" spans="1:7" x14ac:dyDescent="0.25">
      <c r="A848">
        <v>847</v>
      </c>
      <c r="B848">
        <v>929</v>
      </c>
      <c r="C848">
        <v>91</v>
      </c>
      <c r="D848" s="2">
        <v>45636</v>
      </c>
      <c r="F848">
        <v>487.02</v>
      </c>
      <c r="G848">
        <v>1948.08</v>
      </c>
    </row>
    <row r="849" spans="1:7" x14ac:dyDescent="0.25">
      <c r="A849">
        <v>848</v>
      </c>
      <c r="B849">
        <v>998</v>
      </c>
      <c r="C849">
        <v>95</v>
      </c>
      <c r="D849" s="2">
        <v>45429</v>
      </c>
      <c r="F849">
        <v>29.7</v>
      </c>
      <c r="G849">
        <v>29.7</v>
      </c>
    </row>
    <row r="850" spans="1:7" x14ac:dyDescent="0.25">
      <c r="A850">
        <v>849</v>
      </c>
      <c r="B850">
        <v>986</v>
      </c>
      <c r="C850">
        <v>39</v>
      </c>
      <c r="D850" s="2">
        <v>45521</v>
      </c>
      <c r="F850">
        <v>195.58</v>
      </c>
      <c r="G850">
        <v>977.9</v>
      </c>
    </row>
    <row r="851" spans="1:7" x14ac:dyDescent="0.25">
      <c r="A851">
        <v>850</v>
      </c>
      <c r="B851">
        <v>928</v>
      </c>
      <c r="C851">
        <v>98</v>
      </c>
      <c r="D851" s="2">
        <v>45660</v>
      </c>
      <c r="F851">
        <v>174.49</v>
      </c>
      <c r="G851">
        <v>348.98</v>
      </c>
    </row>
    <row r="852" spans="1:7" x14ac:dyDescent="0.25">
      <c r="A852">
        <v>851</v>
      </c>
      <c r="B852">
        <v>922</v>
      </c>
      <c r="C852">
        <v>71</v>
      </c>
      <c r="D852" s="2">
        <v>45632</v>
      </c>
      <c r="F852">
        <v>126.12</v>
      </c>
      <c r="G852">
        <v>126.12</v>
      </c>
    </row>
    <row r="853" spans="1:7" x14ac:dyDescent="0.25">
      <c r="A853">
        <v>852</v>
      </c>
      <c r="B853">
        <v>851</v>
      </c>
      <c r="C853">
        <v>35</v>
      </c>
      <c r="D853" s="2">
        <v>45488</v>
      </c>
      <c r="F853">
        <v>623.78</v>
      </c>
      <c r="G853">
        <v>1871.34</v>
      </c>
    </row>
    <row r="854" spans="1:7" x14ac:dyDescent="0.25">
      <c r="A854">
        <v>853</v>
      </c>
      <c r="B854">
        <v>933</v>
      </c>
      <c r="C854">
        <v>32</v>
      </c>
      <c r="D854" s="2">
        <v>45587</v>
      </c>
      <c r="F854">
        <v>503.71</v>
      </c>
      <c r="G854">
        <v>1511.13</v>
      </c>
    </row>
    <row r="855" spans="1:7" x14ac:dyDescent="0.25">
      <c r="A855">
        <v>854</v>
      </c>
      <c r="B855">
        <v>929</v>
      </c>
      <c r="C855">
        <v>21</v>
      </c>
      <c r="D855" s="2">
        <v>45587</v>
      </c>
      <c r="F855">
        <v>803.73</v>
      </c>
      <c r="G855">
        <v>2411.19</v>
      </c>
    </row>
    <row r="856" spans="1:7" x14ac:dyDescent="0.25">
      <c r="A856">
        <v>855</v>
      </c>
      <c r="B856">
        <v>854</v>
      </c>
      <c r="C856">
        <v>91</v>
      </c>
      <c r="D856" s="2">
        <v>45626</v>
      </c>
      <c r="F856">
        <v>609.52</v>
      </c>
      <c r="G856">
        <v>2438.08</v>
      </c>
    </row>
    <row r="857" spans="1:7" x14ac:dyDescent="0.25">
      <c r="A857">
        <v>856</v>
      </c>
      <c r="B857">
        <v>951</v>
      </c>
      <c r="C857">
        <v>56</v>
      </c>
      <c r="D857" s="2">
        <v>45470</v>
      </c>
      <c r="F857">
        <v>953.42</v>
      </c>
      <c r="G857">
        <v>3813.68</v>
      </c>
    </row>
    <row r="858" spans="1:7" x14ac:dyDescent="0.25">
      <c r="A858">
        <v>857</v>
      </c>
      <c r="B858">
        <v>992</v>
      </c>
      <c r="C858">
        <v>85</v>
      </c>
      <c r="D858" s="2">
        <v>45612</v>
      </c>
      <c r="F858">
        <v>522.35</v>
      </c>
      <c r="G858">
        <v>522.35</v>
      </c>
    </row>
    <row r="859" spans="1:7" x14ac:dyDescent="0.25">
      <c r="A859">
        <v>858</v>
      </c>
      <c r="B859">
        <v>882</v>
      </c>
      <c r="C859">
        <v>67</v>
      </c>
      <c r="D859" s="2">
        <v>45617</v>
      </c>
      <c r="F859">
        <v>879.09</v>
      </c>
      <c r="G859">
        <v>879.09</v>
      </c>
    </row>
    <row r="860" spans="1:7" x14ac:dyDescent="0.25">
      <c r="A860">
        <v>859</v>
      </c>
      <c r="B860">
        <v>893</v>
      </c>
      <c r="C860">
        <v>81</v>
      </c>
      <c r="D860" s="2">
        <v>45461</v>
      </c>
      <c r="F860">
        <v>266.58999999999997</v>
      </c>
      <c r="G860">
        <v>1332.95</v>
      </c>
    </row>
    <row r="861" spans="1:7" x14ac:dyDescent="0.25">
      <c r="A861">
        <v>860</v>
      </c>
      <c r="B861">
        <v>995</v>
      </c>
      <c r="C861">
        <v>37</v>
      </c>
      <c r="D861" s="2">
        <v>45650</v>
      </c>
      <c r="F861">
        <v>11.17</v>
      </c>
      <c r="G861">
        <v>33.51</v>
      </c>
    </row>
    <row r="862" spans="1:7" x14ac:dyDescent="0.25">
      <c r="A862">
        <v>861</v>
      </c>
      <c r="B862">
        <v>975</v>
      </c>
      <c r="C862">
        <v>65</v>
      </c>
      <c r="D862" s="2">
        <v>45552</v>
      </c>
      <c r="F862">
        <v>727.24</v>
      </c>
      <c r="G862">
        <v>2181.7199999999998</v>
      </c>
    </row>
    <row r="863" spans="1:7" x14ac:dyDescent="0.25">
      <c r="A863">
        <v>862</v>
      </c>
      <c r="B863">
        <v>867</v>
      </c>
      <c r="C863">
        <v>27</v>
      </c>
      <c r="D863" s="2">
        <v>45454</v>
      </c>
      <c r="F863">
        <v>740.58</v>
      </c>
      <c r="G863">
        <v>2221.7399999999998</v>
      </c>
    </row>
    <row r="864" spans="1:7" x14ac:dyDescent="0.25">
      <c r="A864">
        <v>863</v>
      </c>
      <c r="B864">
        <v>913</v>
      </c>
      <c r="C864">
        <v>35</v>
      </c>
      <c r="D864" s="2">
        <v>45555</v>
      </c>
      <c r="F864">
        <v>639.74</v>
      </c>
      <c r="G864">
        <v>2558.96</v>
      </c>
    </row>
    <row r="865" spans="1:7" x14ac:dyDescent="0.25">
      <c r="A865">
        <v>864</v>
      </c>
      <c r="B865">
        <v>957</v>
      </c>
      <c r="C865">
        <v>18</v>
      </c>
      <c r="D865" s="2">
        <v>45668</v>
      </c>
      <c r="F865">
        <v>659.33</v>
      </c>
      <c r="G865">
        <v>2637.32</v>
      </c>
    </row>
    <row r="866" spans="1:7" x14ac:dyDescent="0.25">
      <c r="A866">
        <v>865</v>
      </c>
      <c r="B866">
        <v>909</v>
      </c>
      <c r="C866">
        <v>79</v>
      </c>
      <c r="D866" s="2">
        <v>45738</v>
      </c>
      <c r="F866">
        <v>578</v>
      </c>
      <c r="G866">
        <v>1734</v>
      </c>
    </row>
    <row r="867" spans="1:7" x14ac:dyDescent="0.25">
      <c r="A867">
        <v>866</v>
      </c>
      <c r="B867">
        <v>975</v>
      </c>
      <c r="C867">
        <v>18</v>
      </c>
      <c r="D867" s="2">
        <v>45575</v>
      </c>
      <c r="F867">
        <v>173.57</v>
      </c>
      <c r="G867">
        <v>347.14</v>
      </c>
    </row>
    <row r="868" spans="1:7" x14ac:dyDescent="0.25">
      <c r="A868">
        <v>867</v>
      </c>
      <c r="B868">
        <v>956</v>
      </c>
      <c r="C868">
        <v>98</v>
      </c>
      <c r="D868" s="2">
        <v>45584</v>
      </c>
      <c r="F868">
        <v>728.53</v>
      </c>
      <c r="G868">
        <v>2914.12</v>
      </c>
    </row>
    <row r="869" spans="1:7" x14ac:dyDescent="0.25">
      <c r="A869">
        <v>868</v>
      </c>
      <c r="B869">
        <v>867</v>
      </c>
      <c r="C869">
        <v>59</v>
      </c>
      <c r="D869" s="2">
        <v>45643</v>
      </c>
      <c r="F869">
        <v>479.74</v>
      </c>
      <c r="G869">
        <v>479.74</v>
      </c>
    </row>
    <row r="870" spans="1:7" x14ac:dyDescent="0.25">
      <c r="A870">
        <v>869</v>
      </c>
      <c r="B870">
        <v>934</v>
      </c>
      <c r="C870">
        <v>25</v>
      </c>
      <c r="D870" s="2">
        <v>45760</v>
      </c>
      <c r="F870">
        <v>537.09</v>
      </c>
      <c r="G870">
        <v>2148.36</v>
      </c>
    </row>
    <row r="871" spans="1:7" x14ac:dyDescent="0.25">
      <c r="A871">
        <v>870</v>
      </c>
      <c r="B871">
        <v>966</v>
      </c>
      <c r="C871">
        <v>19</v>
      </c>
      <c r="D871" s="2">
        <v>45612</v>
      </c>
      <c r="F871">
        <v>82.54</v>
      </c>
      <c r="G871">
        <v>412.7</v>
      </c>
    </row>
    <row r="872" spans="1:7" x14ac:dyDescent="0.25">
      <c r="A872">
        <v>871</v>
      </c>
      <c r="B872">
        <v>949</v>
      </c>
      <c r="C872">
        <v>5</v>
      </c>
      <c r="D872" s="2">
        <v>45452</v>
      </c>
      <c r="F872">
        <v>77.069999999999993</v>
      </c>
      <c r="G872">
        <v>231.21</v>
      </c>
    </row>
    <row r="873" spans="1:7" x14ac:dyDescent="0.25">
      <c r="A873">
        <v>872</v>
      </c>
      <c r="B873">
        <v>978</v>
      </c>
      <c r="C873">
        <v>27</v>
      </c>
      <c r="D873" s="2">
        <v>45784</v>
      </c>
      <c r="F873">
        <v>689.58</v>
      </c>
      <c r="G873">
        <v>1379.16</v>
      </c>
    </row>
    <row r="874" spans="1:7" x14ac:dyDescent="0.25">
      <c r="A874">
        <v>873</v>
      </c>
      <c r="B874">
        <v>973</v>
      </c>
      <c r="C874">
        <v>75</v>
      </c>
      <c r="D874" s="2">
        <v>45602</v>
      </c>
      <c r="F874">
        <v>423.36</v>
      </c>
      <c r="G874">
        <v>2116.8000000000002</v>
      </c>
    </row>
    <row r="875" spans="1:7" x14ac:dyDescent="0.25">
      <c r="A875">
        <v>874</v>
      </c>
      <c r="B875">
        <v>873</v>
      </c>
      <c r="C875">
        <v>13</v>
      </c>
      <c r="D875" s="2">
        <v>45759</v>
      </c>
      <c r="F875">
        <v>413.53</v>
      </c>
      <c r="G875">
        <v>413.53</v>
      </c>
    </row>
    <row r="876" spans="1:7" x14ac:dyDescent="0.25">
      <c r="A876">
        <v>875</v>
      </c>
      <c r="B876">
        <v>928</v>
      </c>
      <c r="C876">
        <v>48</v>
      </c>
      <c r="D876" s="2">
        <v>45627</v>
      </c>
      <c r="F876">
        <v>313.98</v>
      </c>
      <c r="G876">
        <v>1569.9</v>
      </c>
    </row>
    <row r="877" spans="1:7" x14ac:dyDescent="0.25">
      <c r="A877">
        <v>876</v>
      </c>
      <c r="B877">
        <v>970</v>
      </c>
      <c r="C877">
        <v>11</v>
      </c>
      <c r="D877" s="2">
        <v>45747</v>
      </c>
      <c r="F877">
        <v>378.84</v>
      </c>
      <c r="G877">
        <v>1894.2</v>
      </c>
    </row>
    <row r="878" spans="1:7" x14ac:dyDescent="0.25">
      <c r="A878">
        <v>877</v>
      </c>
      <c r="B878">
        <v>979</v>
      </c>
      <c r="C878">
        <v>20</v>
      </c>
      <c r="D878" s="2">
        <v>45664</v>
      </c>
      <c r="F878">
        <v>11.83</v>
      </c>
      <c r="G878">
        <v>23.66</v>
      </c>
    </row>
    <row r="879" spans="1:7" x14ac:dyDescent="0.25">
      <c r="A879">
        <v>878</v>
      </c>
      <c r="B879">
        <v>882</v>
      </c>
      <c r="C879">
        <v>64</v>
      </c>
      <c r="D879" s="2">
        <v>45720</v>
      </c>
      <c r="F879">
        <v>567.23</v>
      </c>
      <c r="G879">
        <v>1701.69</v>
      </c>
    </row>
    <row r="880" spans="1:7" x14ac:dyDescent="0.25">
      <c r="A880">
        <v>879</v>
      </c>
      <c r="B880">
        <v>878</v>
      </c>
      <c r="C880">
        <v>61</v>
      </c>
      <c r="D880" s="2">
        <v>45443</v>
      </c>
      <c r="F880">
        <v>183.61</v>
      </c>
      <c r="G880">
        <v>367.22</v>
      </c>
    </row>
    <row r="881" spans="1:7" x14ac:dyDescent="0.25">
      <c r="A881">
        <v>880</v>
      </c>
      <c r="B881">
        <v>966</v>
      </c>
      <c r="C881">
        <v>54</v>
      </c>
      <c r="D881" s="2">
        <v>45499</v>
      </c>
      <c r="F881">
        <v>486.24</v>
      </c>
      <c r="G881">
        <v>1458.72</v>
      </c>
    </row>
    <row r="882" spans="1:7" x14ac:dyDescent="0.25">
      <c r="A882">
        <v>881</v>
      </c>
      <c r="B882">
        <v>941</v>
      </c>
      <c r="C882">
        <v>94</v>
      </c>
      <c r="D882" s="2">
        <v>45738</v>
      </c>
      <c r="F882">
        <v>48.67</v>
      </c>
      <c r="G882">
        <v>243.35</v>
      </c>
    </row>
    <row r="883" spans="1:7" x14ac:dyDescent="0.25">
      <c r="A883">
        <v>882</v>
      </c>
      <c r="B883">
        <v>881</v>
      </c>
      <c r="C883">
        <v>50</v>
      </c>
      <c r="D883" s="2">
        <v>45774</v>
      </c>
      <c r="F883">
        <v>486.77</v>
      </c>
      <c r="G883">
        <v>1947.08</v>
      </c>
    </row>
    <row r="884" spans="1:7" x14ac:dyDescent="0.25">
      <c r="A884">
        <v>883</v>
      </c>
      <c r="B884">
        <v>882</v>
      </c>
      <c r="C884">
        <v>79</v>
      </c>
      <c r="D884" s="2">
        <v>45760</v>
      </c>
      <c r="F884">
        <v>973.29</v>
      </c>
      <c r="G884">
        <v>1946.58</v>
      </c>
    </row>
    <row r="885" spans="1:7" x14ac:dyDescent="0.25">
      <c r="A885">
        <v>884</v>
      </c>
      <c r="B885">
        <v>938</v>
      </c>
      <c r="C885">
        <v>50</v>
      </c>
      <c r="D885" s="2">
        <v>45435</v>
      </c>
      <c r="F885">
        <v>548.52</v>
      </c>
      <c r="G885">
        <v>2742.6</v>
      </c>
    </row>
    <row r="886" spans="1:7" x14ac:dyDescent="0.25">
      <c r="A886">
        <v>885</v>
      </c>
      <c r="B886">
        <v>967</v>
      </c>
      <c r="C886">
        <v>70</v>
      </c>
      <c r="D886" s="2">
        <v>45694</v>
      </c>
      <c r="F886">
        <v>704.86</v>
      </c>
      <c r="G886">
        <v>2114.58</v>
      </c>
    </row>
    <row r="887" spans="1:7" x14ac:dyDescent="0.25">
      <c r="A887">
        <v>886</v>
      </c>
      <c r="B887">
        <v>885</v>
      </c>
      <c r="C887">
        <v>31</v>
      </c>
      <c r="D887" s="2">
        <v>45599</v>
      </c>
      <c r="F887">
        <v>335.1</v>
      </c>
      <c r="G887">
        <v>335.1</v>
      </c>
    </row>
    <row r="888" spans="1:7" x14ac:dyDescent="0.25">
      <c r="A888">
        <v>887</v>
      </c>
      <c r="B888">
        <v>886</v>
      </c>
      <c r="C888">
        <v>65</v>
      </c>
      <c r="D888" s="2">
        <v>45613</v>
      </c>
      <c r="F888">
        <v>973.96</v>
      </c>
      <c r="G888">
        <v>2921.88</v>
      </c>
    </row>
    <row r="889" spans="1:7" x14ac:dyDescent="0.25">
      <c r="A889">
        <v>888</v>
      </c>
      <c r="B889">
        <v>890</v>
      </c>
      <c r="C889">
        <v>86</v>
      </c>
      <c r="D889" s="2">
        <v>45532</v>
      </c>
      <c r="F889">
        <v>396.56</v>
      </c>
      <c r="G889">
        <v>1982.8</v>
      </c>
    </row>
    <row r="890" spans="1:7" x14ac:dyDescent="0.25">
      <c r="A890">
        <v>889</v>
      </c>
      <c r="B890">
        <v>932</v>
      </c>
      <c r="C890">
        <v>28</v>
      </c>
      <c r="D890" s="2">
        <v>45503</v>
      </c>
      <c r="F890">
        <v>10.97</v>
      </c>
      <c r="G890">
        <v>43.88</v>
      </c>
    </row>
    <row r="891" spans="1:7" x14ac:dyDescent="0.25">
      <c r="A891">
        <v>890</v>
      </c>
      <c r="B891">
        <v>967</v>
      </c>
      <c r="C891">
        <v>29</v>
      </c>
      <c r="D891" s="2">
        <v>45496</v>
      </c>
      <c r="F891">
        <v>839.12</v>
      </c>
      <c r="G891">
        <v>4195.6000000000004</v>
      </c>
    </row>
    <row r="892" spans="1:7" x14ac:dyDescent="0.25">
      <c r="A892">
        <v>891</v>
      </c>
      <c r="B892">
        <v>890</v>
      </c>
      <c r="C892">
        <v>97</v>
      </c>
      <c r="D892" s="2">
        <v>45499</v>
      </c>
      <c r="F892">
        <v>435.63</v>
      </c>
      <c r="G892">
        <v>871.26</v>
      </c>
    </row>
    <row r="893" spans="1:7" x14ac:dyDescent="0.25">
      <c r="A893">
        <v>892</v>
      </c>
      <c r="B893">
        <v>905</v>
      </c>
      <c r="C893">
        <v>83</v>
      </c>
      <c r="D893" s="2">
        <v>45437</v>
      </c>
      <c r="F893">
        <v>843.07</v>
      </c>
      <c r="G893">
        <v>843.07</v>
      </c>
    </row>
    <row r="894" spans="1:7" x14ac:dyDescent="0.25">
      <c r="A894">
        <v>893</v>
      </c>
      <c r="B894">
        <v>950</v>
      </c>
      <c r="C894">
        <v>39</v>
      </c>
      <c r="D894" s="2">
        <v>45646</v>
      </c>
      <c r="F894">
        <v>878.29</v>
      </c>
      <c r="G894">
        <v>1756.58</v>
      </c>
    </row>
    <row r="895" spans="1:7" x14ac:dyDescent="0.25">
      <c r="A895">
        <v>894</v>
      </c>
      <c r="B895">
        <v>893</v>
      </c>
      <c r="C895">
        <v>34</v>
      </c>
      <c r="D895" s="2">
        <v>45705</v>
      </c>
      <c r="F895">
        <v>890.38</v>
      </c>
      <c r="G895">
        <v>1780.76</v>
      </c>
    </row>
    <row r="896" spans="1:7" x14ac:dyDescent="0.25">
      <c r="A896">
        <v>895</v>
      </c>
      <c r="B896">
        <v>996</v>
      </c>
      <c r="C896">
        <v>95</v>
      </c>
      <c r="D896" s="2">
        <v>45610</v>
      </c>
      <c r="F896">
        <v>334.99</v>
      </c>
      <c r="G896">
        <v>669.98</v>
      </c>
    </row>
    <row r="897" spans="1:7" x14ac:dyDescent="0.25">
      <c r="A897">
        <v>896</v>
      </c>
      <c r="B897">
        <v>926</v>
      </c>
      <c r="C897">
        <v>81</v>
      </c>
      <c r="D897" s="2">
        <v>45544</v>
      </c>
      <c r="F897">
        <v>625.92999999999995</v>
      </c>
      <c r="G897">
        <v>3129.65</v>
      </c>
    </row>
    <row r="898" spans="1:7" x14ac:dyDescent="0.25">
      <c r="A898">
        <v>897</v>
      </c>
      <c r="B898">
        <v>972</v>
      </c>
      <c r="C898">
        <v>74</v>
      </c>
      <c r="D898" s="2">
        <v>45541</v>
      </c>
      <c r="F898">
        <v>421.12</v>
      </c>
      <c r="G898">
        <v>421.12</v>
      </c>
    </row>
    <row r="899" spans="1:7" x14ac:dyDescent="0.25">
      <c r="A899">
        <v>898</v>
      </c>
      <c r="B899">
        <v>972</v>
      </c>
      <c r="C899">
        <v>2</v>
      </c>
      <c r="D899" s="2">
        <v>45719</v>
      </c>
      <c r="F899">
        <v>484.25</v>
      </c>
      <c r="G899">
        <v>2421.25</v>
      </c>
    </row>
    <row r="900" spans="1:7" x14ac:dyDescent="0.25">
      <c r="A900">
        <v>899</v>
      </c>
      <c r="B900">
        <v>897</v>
      </c>
      <c r="C900">
        <v>67</v>
      </c>
      <c r="D900" s="2">
        <v>45562</v>
      </c>
      <c r="F900">
        <v>313.44</v>
      </c>
      <c r="G900">
        <v>1253.76</v>
      </c>
    </row>
    <row r="901" spans="1:7" x14ac:dyDescent="0.25">
      <c r="A901">
        <v>900</v>
      </c>
      <c r="B901">
        <v>940</v>
      </c>
      <c r="C901">
        <v>72</v>
      </c>
      <c r="D901" s="2">
        <v>45607</v>
      </c>
      <c r="F901">
        <v>512.20000000000005</v>
      </c>
      <c r="G901">
        <v>1536.6</v>
      </c>
    </row>
    <row r="902" spans="1:7" x14ac:dyDescent="0.25">
      <c r="A902">
        <v>901</v>
      </c>
      <c r="B902">
        <v>899</v>
      </c>
      <c r="C902">
        <v>35</v>
      </c>
      <c r="D902" s="2">
        <v>45615</v>
      </c>
      <c r="F902">
        <v>495.95</v>
      </c>
      <c r="G902">
        <v>991.9</v>
      </c>
    </row>
    <row r="903" spans="1:7" x14ac:dyDescent="0.25">
      <c r="A903">
        <v>902</v>
      </c>
      <c r="B903">
        <v>968</v>
      </c>
      <c r="C903">
        <v>51</v>
      </c>
      <c r="D903" s="2">
        <v>45443</v>
      </c>
      <c r="F903">
        <v>169.79</v>
      </c>
      <c r="G903">
        <v>169.79</v>
      </c>
    </row>
    <row r="904" spans="1:7" x14ac:dyDescent="0.25">
      <c r="A904">
        <v>903</v>
      </c>
      <c r="B904">
        <v>901</v>
      </c>
      <c r="C904">
        <v>70</v>
      </c>
      <c r="D904" s="2">
        <v>45652</v>
      </c>
      <c r="F904">
        <v>762.22</v>
      </c>
      <c r="G904">
        <v>3048.88</v>
      </c>
    </row>
    <row r="905" spans="1:7" x14ac:dyDescent="0.25">
      <c r="A905">
        <v>904</v>
      </c>
      <c r="B905">
        <v>905</v>
      </c>
      <c r="C905">
        <v>1</v>
      </c>
      <c r="D905" s="2">
        <v>45546</v>
      </c>
      <c r="F905">
        <v>546.36</v>
      </c>
      <c r="G905">
        <v>1639.08</v>
      </c>
    </row>
    <row r="906" spans="1:7" x14ac:dyDescent="0.25">
      <c r="A906">
        <v>905</v>
      </c>
      <c r="B906">
        <v>972</v>
      </c>
      <c r="C906">
        <v>84</v>
      </c>
      <c r="D906" s="2">
        <v>45737</v>
      </c>
      <c r="F906">
        <v>815.34</v>
      </c>
      <c r="G906">
        <v>815.34</v>
      </c>
    </row>
    <row r="907" spans="1:7" x14ac:dyDescent="0.25">
      <c r="A907">
        <v>906</v>
      </c>
      <c r="B907">
        <v>976</v>
      </c>
      <c r="C907">
        <v>78</v>
      </c>
      <c r="D907" s="2">
        <v>45545</v>
      </c>
      <c r="F907">
        <v>96.7</v>
      </c>
      <c r="G907">
        <v>193.4</v>
      </c>
    </row>
    <row r="908" spans="1:7" x14ac:dyDescent="0.25">
      <c r="A908">
        <v>907</v>
      </c>
      <c r="B908">
        <v>905</v>
      </c>
      <c r="C908">
        <v>11</v>
      </c>
      <c r="D908" s="2">
        <v>45716</v>
      </c>
      <c r="F908">
        <v>752.08</v>
      </c>
      <c r="G908">
        <v>1504.16</v>
      </c>
    </row>
    <row r="909" spans="1:7" x14ac:dyDescent="0.25">
      <c r="A909">
        <v>908</v>
      </c>
      <c r="B909">
        <v>990</v>
      </c>
      <c r="C909">
        <v>40</v>
      </c>
      <c r="D909" s="2">
        <v>45727</v>
      </c>
      <c r="F909">
        <v>490.16</v>
      </c>
      <c r="G909">
        <v>2450.8000000000002</v>
      </c>
    </row>
    <row r="910" spans="1:7" x14ac:dyDescent="0.25">
      <c r="A910">
        <v>909</v>
      </c>
      <c r="B910">
        <v>907</v>
      </c>
      <c r="C910">
        <v>55</v>
      </c>
      <c r="D910" s="2">
        <v>45676</v>
      </c>
      <c r="F910">
        <v>861.44</v>
      </c>
      <c r="G910">
        <v>3445.76</v>
      </c>
    </row>
    <row r="911" spans="1:7" x14ac:dyDescent="0.25">
      <c r="A911">
        <v>910</v>
      </c>
      <c r="B911">
        <v>908</v>
      </c>
      <c r="C911">
        <v>76</v>
      </c>
      <c r="D911" s="2">
        <v>45737</v>
      </c>
      <c r="F911">
        <v>266.60000000000002</v>
      </c>
      <c r="G911">
        <v>533.20000000000005</v>
      </c>
    </row>
    <row r="912" spans="1:7" x14ac:dyDescent="0.25">
      <c r="A912">
        <v>911</v>
      </c>
      <c r="B912">
        <v>909</v>
      </c>
      <c r="C912">
        <v>7</v>
      </c>
      <c r="D912" s="2">
        <v>45724</v>
      </c>
      <c r="F912">
        <v>973.68</v>
      </c>
      <c r="G912">
        <v>973.68</v>
      </c>
    </row>
    <row r="913" spans="1:7" x14ac:dyDescent="0.25">
      <c r="A913">
        <v>912</v>
      </c>
      <c r="B913">
        <v>957</v>
      </c>
      <c r="C913">
        <v>8</v>
      </c>
      <c r="D913" s="2">
        <v>45741</v>
      </c>
      <c r="F913">
        <v>221.37</v>
      </c>
      <c r="G913">
        <v>221.37</v>
      </c>
    </row>
    <row r="914" spans="1:7" x14ac:dyDescent="0.25">
      <c r="A914">
        <v>913</v>
      </c>
      <c r="B914">
        <v>958</v>
      </c>
      <c r="C914">
        <v>16</v>
      </c>
      <c r="D914" s="2">
        <v>45786</v>
      </c>
      <c r="F914">
        <v>809.67</v>
      </c>
      <c r="G914">
        <v>809.67</v>
      </c>
    </row>
    <row r="915" spans="1:7" x14ac:dyDescent="0.25">
      <c r="A915">
        <v>914</v>
      </c>
      <c r="B915">
        <v>968</v>
      </c>
      <c r="C915">
        <v>82</v>
      </c>
      <c r="D915" s="2">
        <v>45595</v>
      </c>
      <c r="F915">
        <v>569.04</v>
      </c>
      <c r="G915">
        <v>2276.16</v>
      </c>
    </row>
    <row r="916" spans="1:7" x14ac:dyDescent="0.25">
      <c r="A916">
        <v>915</v>
      </c>
      <c r="B916">
        <v>913</v>
      </c>
      <c r="C916">
        <v>55</v>
      </c>
      <c r="D916" s="2">
        <v>45714</v>
      </c>
      <c r="F916">
        <v>913.69</v>
      </c>
      <c r="G916">
        <v>913.69</v>
      </c>
    </row>
    <row r="917" spans="1:7" x14ac:dyDescent="0.25">
      <c r="A917">
        <v>916</v>
      </c>
      <c r="B917">
        <v>940</v>
      </c>
      <c r="C917">
        <v>23</v>
      </c>
      <c r="D917" s="2">
        <v>45562</v>
      </c>
      <c r="F917">
        <v>762.53</v>
      </c>
      <c r="G917">
        <v>762.53</v>
      </c>
    </row>
    <row r="918" spans="1:7" x14ac:dyDescent="0.25">
      <c r="A918">
        <v>917</v>
      </c>
      <c r="B918">
        <v>922</v>
      </c>
      <c r="C918">
        <v>4</v>
      </c>
      <c r="D918" s="2">
        <v>45560</v>
      </c>
      <c r="F918">
        <v>202.13</v>
      </c>
      <c r="G918">
        <v>606.39</v>
      </c>
    </row>
    <row r="919" spans="1:7" x14ac:dyDescent="0.25">
      <c r="A919">
        <v>918</v>
      </c>
      <c r="B919">
        <v>926</v>
      </c>
      <c r="C919">
        <v>99</v>
      </c>
      <c r="D919" s="2">
        <v>45604</v>
      </c>
      <c r="F919">
        <v>884.75</v>
      </c>
      <c r="G919">
        <v>4423.75</v>
      </c>
    </row>
    <row r="920" spans="1:7" x14ac:dyDescent="0.25">
      <c r="A920">
        <v>919</v>
      </c>
      <c r="B920">
        <v>917</v>
      </c>
      <c r="C920">
        <v>8</v>
      </c>
      <c r="D920" s="2">
        <v>45607</v>
      </c>
      <c r="F920">
        <v>233.81</v>
      </c>
      <c r="G920">
        <v>233.81</v>
      </c>
    </row>
    <row r="921" spans="1:7" x14ac:dyDescent="0.25">
      <c r="A921">
        <v>920</v>
      </c>
      <c r="B921">
        <v>968</v>
      </c>
      <c r="C921">
        <v>99</v>
      </c>
      <c r="D921" s="2">
        <v>45715</v>
      </c>
      <c r="F921">
        <v>94.79</v>
      </c>
      <c r="G921">
        <v>94.79</v>
      </c>
    </row>
    <row r="922" spans="1:7" x14ac:dyDescent="0.25">
      <c r="A922">
        <v>921</v>
      </c>
      <c r="B922">
        <v>973</v>
      </c>
      <c r="C922">
        <v>11</v>
      </c>
      <c r="D922" s="2">
        <v>45765</v>
      </c>
      <c r="F922">
        <v>29.41</v>
      </c>
      <c r="G922">
        <v>147.05000000000001</v>
      </c>
    </row>
    <row r="923" spans="1:7" x14ac:dyDescent="0.25">
      <c r="A923">
        <v>922</v>
      </c>
      <c r="B923">
        <v>974</v>
      </c>
      <c r="C923">
        <v>46</v>
      </c>
      <c r="D923" s="2">
        <v>45640</v>
      </c>
      <c r="F923">
        <v>875.27</v>
      </c>
      <c r="G923">
        <v>2625.81</v>
      </c>
    </row>
    <row r="924" spans="1:7" x14ac:dyDescent="0.25">
      <c r="A924">
        <v>923</v>
      </c>
      <c r="B924">
        <v>967</v>
      </c>
      <c r="C924">
        <v>58</v>
      </c>
      <c r="D924" s="2">
        <v>45730</v>
      </c>
      <c r="F924">
        <v>955.09</v>
      </c>
      <c r="G924">
        <v>4775.45</v>
      </c>
    </row>
    <row r="925" spans="1:7" x14ac:dyDescent="0.25">
      <c r="A925">
        <v>924</v>
      </c>
      <c r="B925">
        <v>922</v>
      </c>
      <c r="C925">
        <v>90</v>
      </c>
      <c r="D925" s="2">
        <v>45680</v>
      </c>
      <c r="F925">
        <v>571.89</v>
      </c>
      <c r="G925">
        <v>2287.56</v>
      </c>
    </row>
    <row r="926" spans="1:7" x14ac:dyDescent="0.25">
      <c r="A926">
        <v>925</v>
      </c>
      <c r="B926">
        <v>925</v>
      </c>
      <c r="C926">
        <v>75</v>
      </c>
      <c r="D926" s="2">
        <v>45580</v>
      </c>
      <c r="F926">
        <v>938.2</v>
      </c>
      <c r="G926">
        <v>2814.6</v>
      </c>
    </row>
    <row r="927" spans="1:7" x14ac:dyDescent="0.25">
      <c r="A927">
        <v>926</v>
      </c>
      <c r="B927">
        <v>924</v>
      </c>
      <c r="C927">
        <v>6</v>
      </c>
      <c r="D927" s="2">
        <v>45603</v>
      </c>
      <c r="F927">
        <v>950.8</v>
      </c>
      <c r="G927">
        <v>4754</v>
      </c>
    </row>
    <row r="928" spans="1:7" x14ac:dyDescent="0.25">
      <c r="A928">
        <v>927</v>
      </c>
      <c r="B928">
        <v>925</v>
      </c>
      <c r="C928">
        <v>60</v>
      </c>
      <c r="D928" s="2">
        <v>45713</v>
      </c>
      <c r="F928">
        <v>544.29999999999995</v>
      </c>
      <c r="G928">
        <v>2177.1999999999998</v>
      </c>
    </row>
    <row r="929" spans="1:7" x14ac:dyDescent="0.25">
      <c r="A929">
        <v>928</v>
      </c>
      <c r="B929">
        <v>926</v>
      </c>
      <c r="C929">
        <v>5</v>
      </c>
      <c r="D929" s="2">
        <v>45479</v>
      </c>
      <c r="F929">
        <v>939.79</v>
      </c>
      <c r="G929">
        <v>939.79</v>
      </c>
    </row>
    <row r="930" spans="1:7" x14ac:dyDescent="0.25">
      <c r="A930">
        <v>929</v>
      </c>
      <c r="B930">
        <v>988</v>
      </c>
      <c r="C930">
        <v>5</v>
      </c>
      <c r="D930" s="2">
        <v>45685</v>
      </c>
      <c r="F930">
        <v>261.02999999999997</v>
      </c>
      <c r="G930">
        <v>261.02999999999997</v>
      </c>
    </row>
    <row r="931" spans="1:7" x14ac:dyDescent="0.25">
      <c r="A931">
        <v>930</v>
      </c>
      <c r="B931">
        <v>928</v>
      </c>
      <c r="C931">
        <v>70</v>
      </c>
      <c r="D931" s="2">
        <v>45632</v>
      </c>
      <c r="F931">
        <v>840.26</v>
      </c>
      <c r="G931">
        <v>1680.52</v>
      </c>
    </row>
    <row r="932" spans="1:7" x14ac:dyDescent="0.25">
      <c r="A932">
        <v>931</v>
      </c>
      <c r="B932">
        <v>929</v>
      </c>
      <c r="C932">
        <v>13</v>
      </c>
      <c r="D932" s="2">
        <v>45722</v>
      </c>
      <c r="F932">
        <v>147.02000000000001</v>
      </c>
      <c r="G932">
        <v>441.06</v>
      </c>
    </row>
    <row r="933" spans="1:7" x14ac:dyDescent="0.25">
      <c r="A933">
        <v>932</v>
      </c>
      <c r="B933">
        <v>969</v>
      </c>
      <c r="C933">
        <v>40</v>
      </c>
      <c r="D933" s="2">
        <v>45431</v>
      </c>
      <c r="F933">
        <v>504.01</v>
      </c>
      <c r="G933">
        <v>1008.02</v>
      </c>
    </row>
    <row r="934" spans="1:7" x14ac:dyDescent="0.25">
      <c r="A934">
        <v>933</v>
      </c>
      <c r="B934">
        <v>988</v>
      </c>
      <c r="C934">
        <v>76</v>
      </c>
      <c r="D934" s="2">
        <v>45692</v>
      </c>
      <c r="F934">
        <v>560.58000000000004</v>
      </c>
      <c r="G934">
        <v>1121.1600000000001</v>
      </c>
    </row>
    <row r="935" spans="1:7" x14ac:dyDescent="0.25">
      <c r="A935">
        <v>934</v>
      </c>
      <c r="B935">
        <v>932</v>
      </c>
      <c r="C935">
        <v>73</v>
      </c>
      <c r="D935" s="2">
        <v>45509</v>
      </c>
      <c r="F935">
        <v>658.29</v>
      </c>
      <c r="G935">
        <v>1974.87</v>
      </c>
    </row>
    <row r="936" spans="1:7" x14ac:dyDescent="0.25">
      <c r="A936">
        <v>935</v>
      </c>
      <c r="B936">
        <v>933</v>
      </c>
      <c r="C936">
        <v>99</v>
      </c>
      <c r="D936" s="2">
        <v>45463</v>
      </c>
      <c r="F936">
        <v>355.43</v>
      </c>
      <c r="G936">
        <v>1421.72</v>
      </c>
    </row>
    <row r="937" spans="1:7" x14ac:dyDescent="0.25">
      <c r="A937">
        <v>936</v>
      </c>
      <c r="B937">
        <v>934</v>
      </c>
      <c r="C937">
        <v>85</v>
      </c>
      <c r="D937" s="2">
        <v>45535</v>
      </c>
      <c r="F937">
        <v>655.55</v>
      </c>
      <c r="G937">
        <v>3277.75</v>
      </c>
    </row>
    <row r="938" spans="1:7" x14ac:dyDescent="0.25">
      <c r="A938">
        <v>937</v>
      </c>
      <c r="B938">
        <v>978</v>
      </c>
      <c r="C938">
        <v>39</v>
      </c>
      <c r="D938" s="2">
        <v>45680</v>
      </c>
      <c r="F938">
        <v>421.11</v>
      </c>
      <c r="G938">
        <v>1263.33</v>
      </c>
    </row>
    <row r="939" spans="1:7" x14ac:dyDescent="0.25">
      <c r="A939">
        <v>938</v>
      </c>
      <c r="B939">
        <v>936</v>
      </c>
      <c r="C939">
        <v>88</v>
      </c>
      <c r="D939" s="2">
        <v>45438</v>
      </c>
      <c r="F939">
        <v>230.21</v>
      </c>
      <c r="G939">
        <v>1151.05</v>
      </c>
    </row>
    <row r="940" spans="1:7" x14ac:dyDescent="0.25">
      <c r="A940">
        <v>939</v>
      </c>
      <c r="B940">
        <v>970</v>
      </c>
      <c r="C940">
        <v>52</v>
      </c>
      <c r="D940" s="2">
        <v>45723</v>
      </c>
      <c r="F940">
        <v>931.78</v>
      </c>
      <c r="G940">
        <v>2795.34</v>
      </c>
    </row>
    <row r="941" spans="1:7" x14ac:dyDescent="0.25">
      <c r="A941">
        <v>940</v>
      </c>
      <c r="B941">
        <v>938</v>
      </c>
      <c r="C941">
        <v>89</v>
      </c>
      <c r="D941" s="2">
        <v>45603</v>
      </c>
      <c r="F941">
        <v>117.27</v>
      </c>
      <c r="G941">
        <v>234.54</v>
      </c>
    </row>
    <row r="942" spans="1:7" x14ac:dyDescent="0.25">
      <c r="A942">
        <v>941</v>
      </c>
      <c r="B942">
        <v>939</v>
      </c>
      <c r="C942">
        <v>64</v>
      </c>
      <c r="D942" s="2">
        <v>45761</v>
      </c>
      <c r="F942">
        <v>797.5</v>
      </c>
      <c r="G942">
        <v>2392.5</v>
      </c>
    </row>
    <row r="943" spans="1:7" x14ac:dyDescent="0.25">
      <c r="A943">
        <v>942</v>
      </c>
      <c r="B943">
        <v>940</v>
      </c>
      <c r="C943">
        <v>44</v>
      </c>
      <c r="D943" s="2">
        <v>45698</v>
      </c>
      <c r="F943">
        <v>937.4</v>
      </c>
      <c r="G943">
        <v>4687</v>
      </c>
    </row>
    <row r="944" spans="1:7" x14ac:dyDescent="0.25">
      <c r="A944">
        <v>943</v>
      </c>
      <c r="B944">
        <v>941</v>
      </c>
      <c r="C944">
        <v>95</v>
      </c>
      <c r="D944" s="2">
        <v>45483</v>
      </c>
      <c r="F944">
        <v>901.16</v>
      </c>
      <c r="G944">
        <v>2703.48</v>
      </c>
    </row>
    <row r="945" spans="1:7" x14ac:dyDescent="0.25">
      <c r="A945">
        <v>944</v>
      </c>
      <c r="B945">
        <v>942</v>
      </c>
      <c r="C945">
        <v>68</v>
      </c>
      <c r="D945" s="2">
        <v>45692</v>
      </c>
      <c r="F945">
        <v>895.83</v>
      </c>
      <c r="G945">
        <v>4479.1499999999996</v>
      </c>
    </row>
    <row r="946" spans="1:7" x14ac:dyDescent="0.25">
      <c r="A946">
        <v>945</v>
      </c>
      <c r="B946">
        <v>943</v>
      </c>
      <c r="C946">
        <v>15</v>
      </c>
      <c r="D946" s="2">
        <v>45575</v>
      </c>
      <c r="F946">
        <v>153.31</v>
      </c>
      <c r="G946">
        <v>459.93</v>
      </c>
    </row>
    <row r="947" spans="1:7" x14ac:dyDescent="0.25">
      <c r="A947">
        <v>946</v>
      </c>
      <c r="B947">
        <v>950</v>
      </c>
      <c r="C947">
        <v>20</v>
      </c>
      <c r="D947" s="2">
        <v>45530</v>
      </c>
      <c r="F947">
        <v>394.38</v>
      </c>
      <c r="G947">
        <v>1577.52</v>
      </c>
    </row>
    <row r="948" spans="1:7" x14ac:dyDescent="0.25">
      <c r="A948">
        <v>947</v>
      </c>
      <c r="B948">
        <v>961</v>
      </c>
      <c r="C948">
        <v>53</v>
      </c>
      <c r="D948" s="2">
        <v>45482</v>
      </c>
      <c r="F948">
        <v>537.75</v>
      </c>
      <c r="G948">
        <v>1613.25</v>
      </c>
    </row>
    <row r="949" spans="1:7" x14ac:dyDescent="0.25">
      <c r="A949">
        <v>948</v>
      </c>
      <c r="B949">
        <v>988</v>
      </c>
      <c r="C949">
        <v>100</v>
      </c>
      <c r="D949" s="2">
        <v>45515</v>
      </c>
      <c r="F949">
        <v>622.25</v>
      </c>
      <c r="G949">
        <v>2489</v>
      </c>
    </row>
    <row r="950" spans="1:7" x14ac:dyDescent="0.25">
      <c r="A950">
        <v>949</v>
      </c>
      <c r="B950">
        <v>947</v>
      </c>
      <c r="C950">
        <v>61</v>
      </c>
      <c r="D950" s="2">
        <v>45591</v>
      </c>
      <c r="F950">
        <v>385.68</v>
      </c>
      <c r="G950">
        <v>385.68</v>
      </c>
    </row>
    <row r="951" spans="1:7" x14ac:dyDescent="0.25">
      <c r="A951">
        <v>950</v>
      </c>
      <c r="B951">
        <v>948</v>
      </c>
      <c r="C951">
        <v>89</v>
      </c>
      <c r="D951" s="2">
        <v>45755</v>
      </c>
      <c r="F951">
        <v>190.51</v>
      </c>
      <c r="G951">
        <v>381.02</v>
      </c>
    </row>
    <row r="952" spans="1:7" x14ac:dyDescent="0.25">
      <c r="A952">
        <v>951</v>
      </c>
      <c r="B952">
        <v>949</v>
      </c>
      <c r="C952">
        <v>32</v>
      </c>
      <c r="D952" s="2">
        <v>45560</v>
      </c>
      <c r="F952">
        <v>401.31</v>
      </c>
      <c r="G952">
        <v>1203.93</v>
      </c>
    </row>
    <row r="953" spans="1:7" x14ac:dyDescent="0.25">
      <c r="A953">
        <v>952</v>
      </c>
      <c r="B953">
        <v>950</v>
      </c>
      <c r="C953">
        <v>89</v>
      </c>
      <c r="D953" s="2">
        <v>45759</v>
      </c>
      <c r="F953">
        <v>558.91</v>
      </c>
      <c r="G953">
        <v>2794.55</v>
      </c>
    </row>
    <row r="954" spans="1:7" x14ac:dyDescent="0.25">
      <c r="A954">
        <v>953</v>
      </c>
      <c r="B954">
        <v>951</v>
      </c>
      <c r="C954">
        <v>57</v>
      </c>
      <c r="D954" s="2">
        <v>45467</v>
      </c>
      <c r="F954">
        <v>556.4</v>
      </c>
      <c r="G954">
        <v>556.4</v>
      </c>
    </row>
    <row r="955" spans="1:7" x14ac:dyDescent="0.25">
      <c r="A955">
        <v>954</v>
      </c>
      <c r="B955">
        <v>952</v>
      </c>
      <c r="C955">
        <v>34</v>
      </c>
      <c r="D955" s="2">
        <v>45493</v>
      </c>
      <c r="F955">
        <v>918.11</v>
      </c>
      <c r="G955">
        <v>918.11</v>
      </c>
    </row>
    <row r="956" spans="1:7" x14ac:dyDescent="0.25">
      <c r="A956">
        <v>955</v>
      </c>
      <c r="B956">
        <v>986</v>
      </c>
      <c r="C956">
        <v>42</v>
      </c>
      <c r="D956" s="2">
        <v>45446</v>
      </c>
      <c r="F956">
        <v>388.62</v>
      </c>
      <c r="G956">
        <v>1943.1</v>
      </c>
    </row>
    <row r="957" spans="1:7" x14ac:dyDescent="0.25">
      <c r="A957">
        <v>956</v>
      </c>
      <c r="B957">
        <v>954</v>
      </c>
      <c r="C957">
        <v>91</v>
      </c>
      <c r="D957" s="2">
        <v>45744</v>
      </c>
      <c r="F957">
        <v>769.23</v>
      </c>
      <c r="G957">
        <v>3846.15</v>
      </c>
    </row>
    <row r="958" spans="1:7" x14ac:dyDescent="0.25">
      <c r="A958">
        <v>957</v>
      </c>
      <c r="B958">
        <v>986</v>
      </c>
      <c r="C958">
        <v>18</v>
      </c>
      <c r="D958" s="2">
        <v>45444</v>
      </c>
      <c r="F958">
        <v>338.92</v>
      </c>
      <c r="G958">
        <v>1016.76</v>
      </c>
    </row>
    <row r="959" spans="1:7" x14ac:dyDescent="0.25">
      <c r="A959">
        <v>958</v>
      </c>
      <c r="B959">
        <v>956</v>
      </c>
      <c r="C959">
        <v>1</v>
      </c>
      <c r="D959" s="2">
        <v>45620</v>
      </c>
      <c r="F959">
        <v>63.97</v>
      </c>
      <c r="G959">
        <v>127.94</v>
      </c>
    </row>
    <row r="960" spans="1:7" x14ac:dyDescent="0.25">
      <c r="A960">
        <v>959</v>
      </c>
      <c r="B960">
        <v>957</v>
      </c>
      <c r="C960">
        <v>7</v>
      </c>
      <c r="D960" s="2">
        <v>45725</v>
      </c>
      <c r="F960">
        <v>768.78</v>
      </c>
      <c r="G960">
        <v>3843.9</v>
      </c>
    </row>
    <row r="961" spans="1:7" x14ac:dyDescent="0.25">
      <c r="A961">
        <v>960</v>
      </c>
      <c r="B961">
        <v>958</v>
      </c>
      <c r="C961">
        <v>50</v>
      </c>
      <c r="D961" s="2">
        <v>45483</v>
      </c>
      <c r="F961">
        <v>258.64</v>
      </c>
      <c r="G961">
        <v>517.28</v>
      </c>
    </row>
    <row r="962" spans="1:7" x14ac:dyDescent="0.25">
      <c r="A962">
        <v>961</v>
      </c>
      <c r="B962">
        <v>959</v>
      </c>
      <c r="C962">
        <v>69</v>
      </c>
      <c r="D962" s="2">
        <v>45556</v>
      </c>
      <c r="F962">
        <v>228.75</v>
      </c>
      <c r="G962">
        <v>228.75</v>
      </c>
    </row>
    <row r="963" spans="1:7" x14ac:dyDescent="0.25">
      <c r="A963">
        <v>962</v>
      </c>
      <c r="B963">
        <v>983</v>
      </c>
      <c r="C963">
        <v>62</v>
      </c>
      <c r="D963" s="2">
        <v>45728</v>
      </c>
      <c r="F963">
        <v>844.84</v>
      </c>
      <c r="G963">
        <v>1689.68</v>
      </c>
    </row>
    <row r="964" spans="1:7" x14ac:dyDescent="0.25">
      <c r="A964">
        <v>963</v>
      </c>
      <c r="B964">
        <v>961</v>
      </c>
      <c r="C964">
        <v>30</v>
      </c>
      <c r="D964" s="2">
        <v>45652</v>
      </c>
      <c r="F964">
        <v>439.04</v>
      </c>
      <c r="G964">
        <v>439.04</v>
      </c>
    </row>
    <row r="965" spans="1:7" x14ac:dyDescent="0.25">
      <c r="A965">
        <v>964</v>
      </c>
      <c r="B965">
        <v>996</v>
      </c>
      <c r="C965">
        <v>8</v>
      </c>
      <c r="D965" s="2">
        <v>45643</v>
      </c>
      <c r="F965">
        <v>284.98</v>
      </c>
      <c r="G965">
        <v>284.98</v>
      </c>
    </row>
    <row r="966" spans="1:7" x14ac:dyDescent="0.25">
      <c r="A966">
        <v>965</v>
      </c>
      <c r="B966">
        <v>963</v>
      </c>
      <c r="C966">
        <v>86</v>
      </c>
      <c r="D966" s="2">
        <v>45738</v>
      </c>
      <c r="F966">
        <v>16.059999999999999</v>
      </c>
      <c r="G966">
        <v>16.059999999999999</v>
      </c>
    </row>
    <row r="967" spans="1:7" x14ac:dyDescent="0.25">
      <c r="A967">
        <v>966</v>
      </c>
      <c r="B967">
        <v>964</v>
      </c>
      <c r="C967">
        <v>62</v>
      </c>
      <c r="D967" s="2">
        <v>45570</v>
      </c>
      <c r="F967">
        <v>70.39</v>
      </c>
      <c r="G967">
        <v>70.39</v>
      </c>
    </row>
    <row r="968" spans="1:7" x14ac:dyDescent="0.25">
      <c r="A968">
        <v>967</v>
      </c>
      <c r="B968">
        <v>978</v>
      </c>
      <c r="C968">
        <v>8</v>
      </c>
      <c r="D968" s="2">
        <v>45750</v>
      </c>
      <c r="F968">
        <v>771.85</v>
      </c>
      <c r="G968">
        <v>3087.4</v>
      </c>
    </row>
    <row r="969" spans="1:7" x14ac:dyDescent="0.25">
      <c r="A969">
        <v>968</v>
      </c>
      <c r="B969">
        <v>966</v>
      </c>
      <c r="C969">
        <v>66</v>
      </c>
      <c r="D969" s="2">
        <v>45760</v>
      </c>
      <c r="F969">
        <v>71.53</v>
      </c>
      <c r="G969">
        <v>357.65</v>
      </c>
    </row>
    <row r="970" spans="1:7" x14ac:dyDescent="0.25">
      <c r="A970">
        <v>969</v>
      </c>
      <c r="B970">
        <v>967</v>
      </c>
      <c r="C970">
        <v>96</v>
      </c>
      <c r="D970" s="2">
        <v>45643</v>
      </c>
      <c r="F970">
        <v>533.79</v>
      </c>
      <c r="G970">
        <v>2668.95</v>
      </c>
    </row>
    <row r="971" spans="1:7" x14ac:dyDescent="0.25">
      <c r="A971">
        <v>970</v>
      </c>
      <c r="B971">
        <v>968</v>
      </c>
      <c r="C971">
        <v>36</v>
      </c>
      <c r="D971" s="2">
        <v>45534</v>
      </c>
      <c r="F971">
        <v>300.94</v>
      </c>
      <c r="G971">
        <v>1203.76</v>
      </c>
    </row>
    <row r="972" spans="1:7" x14ac:dyDescent="0.25">
      <c r="A972">
        <v>971</v>
      </c>
      <c r="B972">
        <v>969</v>
      </c>
      <c r="C972">
        <v>35</v>
      </c>
      <c r="D972" s="2">
        <v>45478</v>
      </c>
      <c r="F972">
        <v>184.88</v>
      </c>
      <c r="G972">
        <v>554.64</v>
      </c>
    </row>
    <row r="973" spans="1:7" x14ac:dyDescent="0.25">
      <c r="A973">
        <v>972</v>
      </c>
      <c r="B973">
        <v>970</v>
      </c>
      <c r="C973">
        <v>39</v>
      </c>
      <c r="D973" s="2">
        <v>45629</v>
      </c>
      <c r="F973">
        <v>169.43</v>
      </c>
      <c r="G973">
        <v>338.86</v>
      </c>
    </row>
    <row r="974" spans="1:7" x14ac:dyDescent="0.25">
      <c r="A974">
        <v>973</v>
      </c>
      <c r="B974">
        <v>973</v>
      </c>
      <c r="C974">
        <v>87</v>
      </c>
      <c r="D974" s="2">
        <v>45790</v>
      </c>
      <c r="F974">
        <v>402.19</v>
      </c>
      <c r="G974">
        <v>804.38</v>
      </c>
    </row>
    <row r="975" spans="1:7" x14ac:dyDescent="0.25">
      <c r="A975">
        <v>974</v>
      </c>
      <c r="B975">
        <v>972</v>
      </c>
      <c r="C975">
        <v>50</v>
      </c>
      <c r="D975" s="2">
        <v>45495</v>
      </c>
      <c r="F975">
        <v>904.74</v>
      </c>
      <c r="G975">
        <v>1809.48</v>
      </c>
    </row>
    <row r="976" spans="1:7" x14ac:dyDescent="0.25">
      <c r="A976">
        <v>975</v>
      </c>
      <c r="B976">
        <v>973</v>
      </c>
      <c r="C976">
        <v>73</v>
      </c>
      <c r="D976" s="2">
        <v>45784</v>
      </c>
      <c r="F976">
        <v>174.12</v>
      </c>
      <c r="G976">
        <v>174.12</v>
      </c>
    </row>
    <row r="977" spans="1:7" x14ac:dyDescent="0.25">
      <c r="A977">
        <v>976</v>
      </c>
      <c r="B977">
        <v>974</v>
      </c>
      <c r="C977">
        <v>60</v>
      </c>
      <c r="D977" s="2">
        <v>45563</v>
      </c>
      <c r="F977">
        <v>131.63</v>
      </c>
      <c r="G977">
        <v>394.89</v>
      </c>
    </row>
    <row r="978" spans="1:7" x14ac:dyDescent="0.25">
      <c r="A978">
        <v>977</v>
      </c>
      <c r="B978">
        <v>975</v>
      </c>
      <c r="C978">
        <v>49</v>
      </c>
      <c r="D978" s="2">
        <v>45608</v>
      </c>
      <c r="F978">
        <v>92.99</v>
      </c>
      <c r="G978">
        <v>185.98</v>
      </c>
    </row>
    <row r="979" spans="1:7" x14ac:dyDescent="0.25">
      <c r="A979">
        <v>978</v>
      </c>
      <c r="B979">
        <v>976</v>
      </c>
      <c r="C979">
        <v>78</v>
      </c>
      <c r="D979" s="2">
        <v>45591</v>
      </c>
      <c r="F979">
        <v>586.14</v>
      </c>
      <c r="G979">
        <v>586.14</v>
      </c>
    </row>
    <row r="980" spans="1:7" x14ac:dyDescent="0.25">
      <c r="A980">
        <v>979</v>
      </c>
      <c r="B980">
        <v>977</v>
      </c>
      <c r="C980">
        <v>63</v>
      </c>
      <c r="D980" s="2">
        <v>45626</v>
      </c>
      <c r="F980">
        <v>406.19</v>
      </c>
      <c r="G980">
        <v>1218.57</v>
      </c>
    </row>
    <row r="981" spans="1:7" x14ac:dyDescent="0.25">
      <c r="A981">
        <v>980</v>
      </c>
      <c r="B981">
        <v>978</v>
      </c>
      <c r="C981">
        <v>41</v>
      </c>
      <c r="D981" s="2">
        <v>45643</v>
      </c>
      <c r="F981">
        <v>468.89</v>
      </c>
      <c r="G981">
        <v>2344.4499999999998</v>
      </c>
    </row>
    <row r="982" spans="1:7" x14ac:dyDescent="0.25">
      <c r="A982">
        <v>981</v>
      </c>
      <c r="B982">
        <v>979</v>
      </c>
      <c r="C982">
        <v>54</v>
      </c>
      <c r="D982" s="2">
        <v>45691</v>
      </c>
      <c r="F982">
        <v>379.61</v>
      </c>
      <c r="G982">
        <v>759.22</v>
      </c>
    </row>
    <row r="983" spans="1:7" x14ac:dyDescent="0.25">
      <c r="A983">
        <v>982</v>
      </c>
      <c r="B983">
        <v>980</v>
      </c>
      <c r="C983">
        <v>78</v>
      </c>
      <c r="D983" s="2">
        <v>45727</v>
      </c>
      <c r="F983">
        <v>807.49</v>
      </c>
      <c r="G983">
        <v>4037.45</v>
      </c>
    </row>
    <row r="984" spans="1:7" x14ac:dyDescent="0.25">
      <c r="A984">
        <v>983</v>
      </c>
      <c r="B984">
        <v>988</v>
      </c>
      <c r="C984">
        <v>75</v>
      </c>
      <c r="D984" s="2">
        <v>45439</v>
      </c>
      <c r="F984">
        <v>782.83</v>
      </c>
      <c r="G984">
        <v>782.83</v>
      </c>
    </row>
    <row r="985" spans="1:7" x14ac:dyDescent="0.25">
      <c r="A985">
        <v>984</v>
      </c>
      <c r="B985">
        <v>982</v>
      </c>
      <c r="C985">
        <v>44</v>
      </c>
      <c r="D985" s="2">
        <v>45719</v>
      </c>
      <c r="F985">
        <v>359.08</v>
      </c>
      <c r="G985">
        <v>718.16</v>
      </c>
    </row>
    <row r="986" spans="1:7" x14ac:dyDescent="0.25">
      <c r="A986">
        <v>985</v>
      </c>
      <c r="B986">
        <v>983</v>
      </c>
      <c r="C986">
        <v>48</v>
      </c>
      <c r="D986" s="2">
        <v>45516</v>
      </c>
      <c r="F986">
        <v>992.22</v>
      </c>
      <c r="G986">
        <v>3968.88</v>
      </c>
    </row>
    <row r="987" spans="1:7" x14ac:dyDescent="0.25">
      <c r="A987">
        <v>986</v>
      </c>
      <c r="B987">
        <v>984</v>
      </c>
      <c r="C987">
        <v>23</v>
      </c>
      <c r="D987" s="2">
        <v>45450</v>
      </c>
      <c r="F987">
        <v>297.42</v>
      </c>
      <c r="G987">
        <v>297.42</v>
      </c>
    </row>
    <row r="988" spans="1:7" x14ac:dyDescent="0.25">
      <c r="A988">
        <v>987</v>
      </c>
      <c r="B988">
        <v>985</v>
      </c>
      <c r="C988">
        <v>25</v>
      </c>
      <c r="D988" s="2">
        <v>45446</v>
      </c>
      <c r="F988">
        <v>916.73</v>
      </c>
      <c r="G988">
        <v>4583.6499999999996</v>
      </c>
    </row>
    <row r="989" spans="1:7" x14ac:dyDescent="0.25">
      <c r="A989">
        <v>988</v>
      </c>
      <c r="B989">
        <v>986</v>
      </c>
      <c r="C989">
        <v>80</v>
      </c>
      <c r="D989" s="2">
        <v>45436</v>
      </c>
      <c r="F989">
        <v>837.43</v>
      </c>
      <c r="G989">
        <v>4187.1499999999996</v>
      </c>
    </row>
    <row r="990" spans="1:7" x14ac:dyDescent="0.25">
      <c r="A990">
        <v>989</v>
      </c>
      <c r="B990">
        <v>987</v>
      </c>
      <c r="C990">
        <v>82</v>
      </c>
      <c r="D990" s="2">
        <v>45442</v>
      </c>
      <c r="F990">
        <v>708.96</v>
      </c>
      <c r="G990">
        <v>2126.88</v>
      </c>
    </row>
    <row r="991" spans="1:7" x14ac:dyDescent="0.25">
      <c r="A991">
        <v>990</v>
      </c>
      <c r="B991">
        <v>988</v>
      </c>
      <c r="C991">
        <v>53</v>
      </c>
      <c r="D991" s="2">
        <v>45538</v>
      </c>
      <c r="F991">
        <v>831.16</v>
      </c>
      <c r="G991">
        <v>4155.8</v>
      </c>
    </row>
    <row r="992" spans="1:7" x14ac:dyDescent="0.25">
      <c r="A992">
        <v>991</v>
      </c>
      <c r="B992">
        <v>989</v>
      </c>
      <c r="C992">
        <v>86</v>
      </c>
      <c r="D992" s="2">
        <v>45442</v>
      </c>
      <c r="F992">
        <v>101.21</v>
      </c>
      <c r="G992">
        <v>101.21</v>
      </c>
    </row>
    <row r="993" spans="1:7" x14ac:dyDescent="0.25">
      <c r="A993">
        <v>992</v>
      </c>
      <c r="B993">
        <v>990</v>
      </c>
      <c r="C993">
        <v>60</v>
      </c>
      <c r="D993" s="2">
        <v>45788</v>
      </c>
      <c r="F993">
        <v>781.97</v>
      </c>
      <c r="G993">
        <v>3909.85</v>
      </c>
    </row>
    <row r="994" spans="1:7" x14ac:dyDescent="0.25">
      <c r="A994">
        <v>993</v>
      </c>
      <c r="B994">
        <v>991</v>
      </c>
      <c r="C994">
        <v>20</v>
      </c>
      <c r="D994" s="2">
        <v>45733</v>
      </c>
      <c r="F994">
        <v>350.61</v>
      </c>
      <c r="G994">
        <v>701.22</v>
      </c>
    </row>
    <row r="995" spans="1:7" x14ac:dyDescent="0.25">
      <c r="A995">
        <v>994</v>
      </c>
      <c r="B995">
        <v>992</v>
      </c>
      <c r="C995">
        <v>90</v>
      </c>
      <c r="D995" s="2">
        <v>45753</v>
      </c>
      <c r="F995">
        <v>640.91</v>
      </c>
      <c r="G995">
        <v>2563.64</v>
      </c>
    </row>
    <row r="996" spans="1:7" x14ac:dyDescent="0.25">
      <c r="A996">
        <v>995</v>
      </c>
      <c r="B996">
        <v>993</v>
      </c>
      <c r="C996">
        <v>14</v>
      </c>
      <c r="D996" s="2">
        <v>45665</v>
      </c>
      <c r="F996">
        <v>991.53</v>
      </c>
      <c r="G996">
        <v>4957.6499999999996</v>
      </c>
    </row>
    <row r="997" spans="1:7" x14ac:dyDescent="0.25">
      <c r="A997">
        <v>996</v>
      </c>
      <c r="B997">
        <v>994</v>
      </c>
      <c r="C997">
        <v>85</v>
      </c>
      <c r="D997" s="2">
        <v>45502</v>
      </c>
      <c r="F997">
        <v>392.26</v>
      </c>
      <c r="G997">
        <v>1961.3</v>
      </c>
    </row>
    <row r="998" spans="1:7" x14ac:dyDescent="0.25">
      <c r="A998">
        <v>997</v>
      </c>
      <c r="B998">
        <v>995</v>
      </c>
      <c r="C998">
        <v>93</v>
      </c>
      <c r="D998" s="2">
        <v>45526</v>
      </c>
      <c r="F998">
        <v>387.9</v>
      </c>
      <c r="G998">
        <v>1939.5</v>
      </c>
    </row>
    <row r="999" spans="1:7" x14ac:dyDescent="0.25">
      <c r="A999">
        <v>998</v>
      </c>
      <c r="B999">
        <v>996</v>
      </c>
      <c r="C999">
        <v>67</v>
      </c>
      <c r="D999" s="2">
        <v>45694</v>
      </c>
      <c r="F999">
        <v>626.12</v>
      </c>
      <c r="G999">
        <v>3130.6</v>
      </c>
    </row>
    <row r="1000" spans="1:7" x14ac:dyDescent="0.25">
      <c r="A1000">
        <v>999</v>
      </c>
      <c r="B1000">
        <v>997</v>
      </c>
      <c r="C1000">
        <v>61</v>
      </c>
      <c r="D1000" s="2">
        <v>45469</v>
      </c>
      <c r="F1000">
        <v>196.19</v>
      </c>
      <c r="G1000">
        <v>588.57000000000005</v>
      </c>
    </row>
    <row r="1001" spans="1:7" x14ac:dyDescent="0.25">
      <c r="A1001">
        <v>1000</v>
      </c>
      <c r="B1001">
        <v>998</v>
      </c>
      <c r="C1001">
        <v>28</v>
      </c>
      <c r="D1001" s="2">
        <v>45647</v>
      </c>
      <c r="F1001">
        <v>694.89</v>
      </c>
      <c r="G1001">
        <v>2084.67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7518CBA-7BCD-4BC6-8C3C-57EFB822B702}">
  <ds:schemaRefs/>
</ds:datastoreItem>
</file>

<file path=customXml/itemProps2.xml><?xml version="1.0" encoding="utf-8"?>
<ds:datastoreItem xmlns:ds="http://schemas.openxmlformats.org/officeDocument/2006/customXml" ds:itemID="{9CA80FE8-9608-4806-9C03-D237ED59F506}">
  <ds:schemaRefs/>
</ds:datastoreItem>
</file>

<file path=customXml/itemProps3.xml><?xml version="1.0" encoding="utf-8"?>
<ds:datastoreItem xmlns:ds="http://schemas.openxmlformats.org/officeDocument/2006/customXml" ds:itemID="{0A2D4C45-82BE-4734-B77B-E0656B6E9F45}">
  <ds:schemaRefs/>
</ds:datastoreItem>
</file>

<file path=customXml/itemProps4.xml><?xml version="1.0" encoding="utf-8"?>
<ds:datastoreItem xmlns:ds="http://schemas.openxmlformats.org/officeDocument/2006/customXml" ds:itemID="{57CEE7C1-19CE-4C9D-8ECD-EFCB6871871E}">
  <ds:schemaRefs/>
</ds:datastoreItem>
</file>

<file path=customXml/itemProps5.xml><?xml version="1.0" encoding="utf-8"?>
<ds:datastoreItem xmlns:ds="http://schemas.openxmlformats.org/officeDocument/2006/customXml" ds:itemID="{268B2460-45E6-4834-8E8D-A8DCE3BC25A3}">
  <ds:schemaRefs/>
</ds:datastoreItem>
</file>

<file path=customXml/itemProps6.xml><?xml version="1.0" encoding="utf-8"?>
<ds:datastoreItem xmlns:ds="http://schemas.openxmlformats.org/officeDocument/2006/customXml" ds:itemID="{F3D6B006-B828-4BE9-B56B-B40A05A514F0}">
  <ds:schemaRefs/>
</ds:datastoreItem>
</file>

<file path=customXml/itemProps7.xml><?xml version="1.0" encoding="utf-8"?>
<ds:datastoreItem xmlns:ds="http://schemas.openxmlformats.org/officeDocument/2006/customXml" ds:itemID="{D7145288-3049-42CA-8046-E6321E95CFAF}">
  <ds:schemaRefs/>
</ds:datastoreItem>
</file>

<file path=customXml/itemProps8.xml><?xml version="1.0" encoding="utf-8"?>
<ds:datastoreItem xmlns:ds="http://schemas.openxmlformats.org/officeDocument/2006/customXml" ds:itemID="{AA0D3A77-C395-468F-9403-7EAA4298A633}">
  <ds:schemaRefs/>
</ds:datastoreItem>
</file>

<file path=customXml/itemProps9.xml><?xml version="1.0" encoding="utf-8"?>
<ds:datastoreItem xmlns:ds="http://schemas.openxmlformats.org/officeDocument/2006/customXml" ds:itemID="{BBD9F396-D74E-47F8-9E3E-950DC311D28A}">
  <ds:schemaRefs/>
</ds:datastoreItem>
</file>

<file path=customXml/itemProps10.xml><?xml version="1.0" encoding="utf-8"?>
<ds:datastoreItem xmlns:ds="http://schemas.openxmlformats.org/officeDocument/2006/customXml" ds:itemID="{5A62810C-7C9B-4435-B29C-0AE5D3B5E50F}">
  <ds:schemaRefs/>
</ds:datastoreItem>
</file>

<file path=customXml/itemProps11.xml><?xml version="1.0" encoding="utf-8"?>
<ds:datastoreItem xmlns:ds="http://schemas.openxmlformats.org/officeDocument/2006/customXml" ds:itemID="{D38BB5F4-49F9-4E4E-8407-60D66EFACFE4}">
  <ds:schemaRefs/>
</ds:datastoreItem>
</file>

<file path=customXml/itemProps12.xml><?xml version="1.0" encoding="utf-8"?>
<ds:datastoreItem xmlns:ds="http://schemas.openxmlformats.org/officeDocument/2006/customXml" ds:itemID="{8B0312AF-28E6-4261-B3D3-0C692828F790}">
  <ds:schemaRefs/>
</ds:datastoreItem>
</file>

<file path=customXml/itemProps13.xml><?xml version="1.0" encoding="utf-8"?>
<ds:datastoreItem xmlns:ds="http://schemas.openxmlformats.org/officeDocument/2006/customXml" ds:itemID="{E39C1594-F684-4417-93C1-1E58AC658CDF}">
  <ds:schemaRefs/>
</ds:datastoreItem>
</file>

<file path=customXml/itemProps14.xml><?xml version="1.0" encoding="utf-8"?>
<ds:datastoreItem xmlns:ds="http://schemas.openxmlformats.org/officeDocument/2006/customXml" ds:itemID="{9EC5E909-5CFA-4F52-9FBF-7E7230D23C66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F16E697C-F5DA-40C8-8262-5EB4F54E50E4}">
  <ds:schemaRefs/>
</ds:datastoreItem>
</file>

<file path=customXml/itemProps16.xml><?xml version="1.0" encoding="utf-8"?>
<ds:datastoreItem xmlns:ds="http://schemas.openxmlformats.org/officeDocument/2006/customXml" ds:itemID="{52FEE5BA-7DC3-4495-BA5F-4693653B8E6C}">
  <ds:schemaRefs/>
</ds:datastoreItem>
</file>

<file path=customXml/itemProps17.xml><?xml version="1.0" encoding="utf-8"?>
<ds:datastoreItem xmlns:ds="http://schemas.openxmlformats.org/officeDocument/2006/customXml" ds:itemID="{54F4CE96-5E4E-46C4-91FA-2F390F6EF5AD}">
  <ds:schemaRefs/>
</ds:datastoreItem>
</file>

<file path=customXml/itemProps18.xml><?xml version="1.0" encoding="utf-8"?>
<ds:datastoreItem xmlns:ds="http://schemas.openxmlformats.org/officeDocument/2006/customXml" ds:itemID="{6BBCDF95-CA01-4E44-A631-98471F4C4FFE}">
  <ds:schemaRefs/>
</ds:datastoreItem>
</file>

<file path=customXml/itemProps19.xml><?xml version="1.0" encoding="utf-8"?>
<ds:datastoreItem xmlns:ds="http://schemas.openxmlformats.org/officeDocument/2006/customXml" ds:itemID="{ABA235BF-FA65-45EF-AD81-69A86B57CAB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public dim_customer</vt:lpstr>
      <vt:lpstr>public dim_date</vt:lpstr>
      <vt:lpstr>public dim_product</vt:lpstr>
      <vt:lpstr>public fact_sales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XAVIER CHIMARRO BERMEO</dc:creator>
  <cp:lastModifiedBy>MARLON XAVIER CHIMARRO BERMEO</cp:lastModifiedBy>
  <dcterms:created xsi:type="dcterms:W3CDTF">2026-10-28T02:53:43Z</dcterms:created>
  <dcterms:modified xsi:type="dcterms:W3CDTF">2026-10-28T03:18:26Z</dcterms:modified>
</cp:coreProperties>
</file>